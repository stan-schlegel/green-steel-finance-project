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72623138-4B01-EE4B-9083-80A4B2427DCE}" xr6:coauthVersionLast="47" xr6:coauthVersionMax="47" xr10:uidLastSave="{00000000-0000-0000-0000-000000000000}"/>
  <bookViews>
    <workbookView xWindow="0" yWindow="620" windowWidth="25600" windowHeight="13500" xr2:uid="{00000000-000D-0000-FFFF-FFFF00000000}"/>
  </bookViews>
  <sheets>
    <sheet name="Cover" sheetId="2" r:id="rId1"/>
    <sheet name="Outputs" sheetId="3" r:id="rId2"/>
    <sheet name="Inputs" sheetId="4" r:id="rId3"/>
    <sheet name="Model" sheetId="5" r:id="rId4"/>
  </sheets>
  <definedNames>
    <definedName name="_xlnm.Print_Area" localSheetId="0">Cover!$B$1:$M$20</definedName>
    <definedName name="_xlnm.Print_Area" localSheetId="1">Outputs!$B$135:$Q$176,Outputs!$B$179:$Q$220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5" l="1"/>
  <c r="H124" i="4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H125" i="4"/>
  <c r="I125" i="4"/>
  <c r="J125" i="4"/>
  <c r="K125" i="4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H126" i="4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G126" i="4"/>
  <c r="G124" i="4"/>
  <c r="H117" i="4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H118" i="4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H119" i="4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G119" i="4"/>
  <c r="G117" i="4"/>
  <c r="G125" i="4"/>
  <c r="F125" i="4"/>
  <c r="F118" i="4"/>
  <c r="G118" i="4"/>
  <c r="F91" i="4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F68" i="4"/>
  <c r="E68" i="4"/>
  <c r="W99" i="3"/>
  <c r="W98" i="3"/>
  <c r="H285" i="5"/>
  <c r="E69" i="3"/>
  <c r="E62" i="3"/>
  <c r="W101" i="3" l="1"/>
  <c r="W100" i="3"/>
  <c r="E73" i="3"/>
  <c r="E72" i="3"/>
  <c r="E65" i="3"/>
  <c r="E68" i="3"/>
  <c r="M41" i="3"/>
  <c r="N41" i="3"/>
  <c r="N40" i="3"/>
  <c r="M40" i="3"/>
  <c r="Y44" i="3"/>
  <c r="Z44" i="3" s="1"/>
  <c r="AA44" i="3" s="1"/>
  <c r="AB44" i="3" s="1"/>
  <c r="X45" i="3"/>
  <c r="Y45" i="3"/>
  <c r="Z45" i="3"/>
  <c r="AA45" i="3"/>
  <c r="AB45" i="3"/>
  <c r="X46" i="3"/>
  <c r="Y46" i="3"/>
  <c r="Z46" i="3"/>
  <c r="AA46" i="3"/>
  <c r="AB46" i="3"/>
  <c r="G221" i="5"/>
  <c r="D139" i="4"/>
  <c r="I13" i="3"/>
  <c r="I12" i="3"/>
  <c r="I11" i="3"/>
  <c r="G13" i="3"/>
  <c r="G12" i="3"/>
  <c r="G11" i="3"/>
  <c r="E69" i="4"/>
  <c r="E70" i="4" s="1"/>
  <c r="E13" i="3"/>
  <c r="E12" i="3"/>
  <c r="E11" i="3"/>
  <c r="I10" i="3"/>
  <c r="G10" i="3"/>
  <c r="E10" i="3"/>
  <c r="D86" i="4" l="1"/>
  <c r="H72" i="5" l="1"/>
  <c r="I47" i="5" l="1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H47" i="5"/>
  <c r="B98" i="4"/>
  <c r="B119" i="4" s="1"/>
  <c r="B97" i="4"/>
  <c r="B104" i="4" s="1"/>
  <c r="B96" i="4"/>
  <c r="B124" i="4" s="1"/>
  <c r="G91" i="4"/>
  <c r="H91" i="4" s="1"/>
  <c r="K75" i="4"/>
  <c r="F69" i="4"/>
  <c r="K76" i="4" s="1"/>
  <c r="L68" i="4"/>
  <c r="L69" i="4" s="1"/>
  <c r="L75" i="4" s="1"/>
  <c r="K56" i="4"/>
  <c r="H56" i="4"/>
  <c r="J53" i="4"/>
  <c r="I53" i="4"/>
  <c r="L53" i="4" s="1"/>
  <c r="J52" i="4"/>
  <c r="I52" i="4"/>
  <c r="L52" i="4" s="1"/>
  <c r="J51" i="4"/>
  <c r="I51" i="4"/>
  <c r="L51" i="4" s="1"/>
  <c r="J50" i="4"/>
  <c r="I50" i="4"/>
  <c r="G300" i="5"/>
  <c r="H300" i="5" s="1"/>
  <c r="I300" i="5" s="1"/>
  <c r="J300" i="5" s="1"/>
  <c r="K300" i="5" s="1"/>
  <c r="L300" i="5" s="1"/>
  <c r="M300" i="5" s="1"/>
  <c r="N300" i="5" s="1"/>
  <c r="O300" i="5" s="1"/>
  <c r="P300" i="5" s="1"/>
  <c r="Q300" i="5" s="1"/>
  <c r="R300" i="5" s="1"/>
  <c r="S300" i="5" s="1"/>
  <c r="T300" i="5" s="1"/>
  <c r="U300" i="5" s="1"/>
  <c r="V300" i="5" s="1"/>
  <c r="W300" i="5" s="1"/>
  <c r="X300" i="5" s="1"/>
  <c r="Y300" i="5" s="1"/>
  <c r="Z300" i="5" s="1"/>
  <c r="AA300" i="5" s="1"/>
  <c r="H292" i="5"/>
  <c r="I292" i="5" s="1"/>
  <c r="J292" i="5" s="1"/>
  <c r="K292" i="5" s="1"/>
  <c r="L292" i="5" s="1"/>
  <c r="M292" i="5" s="1"/>
  <c r="N292" i="5" s="1"/>
  <c r="O292" i="5" s="1"/>
  <c r="P292" i="5" s="1"/>
  <c r="Q292" i="5" s="1"/>
  <c r="R292" i="5" s="1"/>
  <c r="S292" i="5" s="1"/>
  <c r="T292" i="5" s="1"/>
  <c r="U292" i="5" s="1"/>
  <c r="V292" i="5" s="1"/>
  <c r="W292" i="5" s="1"/>
  <c r="X292" i="5" s="1"/>
  <c r="Y292" i="5" s="1"/>
  <c r="Z292" i="5" s="1"/>
  <c r="AA292" i="5" s="1"/>
  <c r="H279" i="5"/>
  <c r="H256" i="5"/>
  <c r="I256" i="5" s="1"/>
  <c r="J256" i="5" s="1"/>
  <c r="K256" i="5" s="1"/>
  <c r="L256" i="5" s="1"/>
  <c r="M256" i="5" s="1"/>
  <c r="N256" i="5" s="1"/>
  <c r="O256" i="5" s="1"/>
  <c r="P256" i="5" s="1"/>
  <c r="Q256" i="5" s="1"/>
  <c r="R256" i="5" s="1"/>
  <c r="S256" i="5" s="1"/>
  <c r="T256" i="5" s="1"/>
  <c r="U256" i="5" s="1"/>
  <c r="V256" i="5" s="1"/>
  <c r="W256" i="5" s="1"/>
  <c r="X256" i="5" s="1"/>
  <c r="Y256" i="5" s="1"/>
  <c r="Z256" i="5" s="1"/>
  <c r="AA256" i="5" s="1"/>
  <c r="J230" i="5"/>
  <c r="H219" i="5"/>
  <c r="F40" i="4"/>
  <c r="L40" i="4" s="1"/>
  <c r="B112" i="4" l="1"/>
  <c r="B105" i="4"/>
  <c r="B111" i="4"/>
  <c r="I72" i="5"/>
  <c r="J72" i="5" s="1"/>
  <c r="I91" i="4"/>
  <c r="H24" i="5"/>
  <c r="B125" i="4"/>
  <c r="B110" i="4"/>
  <c r="B126" i="4"/>
  <c r="B117" i="4"/>
  <c r="B118" i="4"/>
  <c r="B103" i="4"/>
  <c r="I56" i="4"/>
  <c r="J56" i="4"/>
  <c r="L50" i="4"/>
  <c r="L56" i="4" s="1"/>
  <c r="F61" i="4" s="1"/>
  <c r="F70" i="4"/>
  <c r="F72" i="4"/>
  <c r="F141" i="4" a="1"/>
  <c r="F141" i="4" s="1"/>
  <c r="AA220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H223" i="5"/>
  <c r="H220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H211" i="5"/>
  <c r="F296" i="5" l="1"/>
  <c r="F301" i="5" s="1"/>
  <c r="F295" i="5"/>
  <c r="K72" i="5"/>
  <c r="L72" i="5" s="1"/>
  <c r="M72" i="5" s="1"/>
  <c r="N72" i="5" s="1"/>
  <c r="O72" i="5" s="1"/>
  <c r="P72" i="5" s="1"/>
  <c r="Q72" i="5" s="1"/>
  <c r="R72" i="5" s="1"/>
  <c r="S72" i="5" s="1"/>
  <c r="T72" i="5" s="1"/>
  <c r="U72" i="5" s="1"/>
  <c r="V72" i="5" s="1"/>
  <c r="W72" i="5" s="1"/>
  <c r="X72" i="5" s="1"/>
  <c r="Y72" i="5" s="1"/>
  <c r="Z72" i="5" s="1"/>
  <c r="AA72" i="5" s="1"/>
  <c r="J91" i="4"/>
  <c r="I24" i="5"/>
  <c r="K220" i="5"/>
  <c r="Q220" i="5"/>
  <c r="I220" i="5"/>
  <c r="I244" i="5" s="1"/>
  <c r="S220" i="5"/>
  <c r="H244" i="5"/>
  <c r="R220" i="5"/>
  <c r="J220" i="5"/>
  <c r="J244" i="5" s="1"/>
  <c r="N229" i="5"/>
  <c r="X220" i="5"/>
  <c r="O220" i="5"/>
  <c r="N220" i="5"/>
  <c r="Z220" i="5"/>
  <c r="P220" i="5"/>
  <c r="W220" i="5"/>
  <c r="Y220" i="5"/>
  <c r="V220" i="5"/>
  <c r="U220" i="5"/>
  <c r="M220" i="5"/>
  <c r="T220" i="5"/>
  <c r="L220" i="5"/>
  <c r="AA229" i="5"/>
  <c r="AA244" i="5" s="1"/>
  <c r="Z229" i="5"/>
  <c r="S229" i="5"/>
  <c r="R229" i="5"/>
  <c r="U229" i="5"/>
  <c r="M229" i="5"/>
  <c r="K229" i="5"/>
  <c r="T229" i="5"/>
  <c r="L229" i="5"/>
  <c r="X229" i="5"/>
  <c r="P229" i="5"/>
  <c r="Y229" i="5"/>
  <c r="W229" i="5"/>
  <c r="O229" i="5"/>
  <c r="Q229" i="5"/>
  <c r="V229" i="5"/>
  <c r="K91" i="4" l="1"/>
  <c r="J24" i="5"/>
  <c r="L244" i="5"/>
  <c r="N244" i="5"/>
  <c r="M244" i="5"/>
  <c r="T244" i="5"/>
  <c r="Z244" i="5"/>
  <c r="Q244" i="5"/>
  <c r="V244" i="5"/>
  <c r="X244" i="5"/>
  <c r="K244" i="5"/>
  <c r="H221" i="5"/>
  <c r="I219" i="5" s="1"/>
  <c r="I221" i="5" s="1"/>
  <c r="U244" i="5"/>
  <c r="S244" i="5"/>
  <c r="Y244" i="5"/>
  <c r="O244" i="5"/>
  <c r="W244" i="5"/>
  <c r="R244" i="5"/>
  <c r="P244" i="5"/>
  <c r="H224" i="5"/>
  <c r="H239" i="5" s="1"/>
  <c r="L91" i="4" l="1"/>
  <c r="K24" i="5"/>
  <c r="H249" i="5"/>
  <c r="Z73" i="3" s="1"/>
  <c r="I224" i="5"/>
  <c r="I239" i="5" s="1"/>
  <c r="J219" i="5"/>
  <c r="I249" i="5"/>
  <c r="AA73" i="3" s="1"/>
  <c r="K228" i="5"/>
  <c r="K230" i="5" s="1"/>
  <c r="M91" i="4" l="1"/>
  <c r="L24" i="5"/>
  <c r="J221" i="5"/>
  <c r="J224" i="5"/>
  <c r="J239" i="5" s="1"/>
  <c r="K233" i="5"/>
  <c r="L228" i="5"/>
  <c r="L230" i="5" s="1"/>
  <c r="N91" i="4" l="1"/>
  <c r="M24" i="5"/>
  <c r="K219" i="5"/>
  <c r="J249" i="5"/>
  <c r="AB73" i="3" s="1"/>
  <c r="L233" i="5"/>
  <c r="M228" i="5"/>
  <c r="M230" i="5" s="1"/>
  <c r="O91" i="4" l="1"/>
  <c r="N24" i="5"/>
  <c r="K221" i="5"/>
  <c r="K224" i="5"/>
  <c r="K239" i="5" s="1"/>
  <c r="M233" i="5"/>
  <c r="N228" i="5"/>
  <c r="P91" i="4" l="1"/>
  <c r="O24" i="5"/>
  <c r="L219" i="5"/>
  <c r="K249" i="5"/>
  <c r="AC73" i="3" s="1"/>
  <c r="N233" i="5"/>
  <c r="N230" i="5"/>
  <c r="O228" i="5" s="1"/>
  <c r="Q91" i="4" l="1"/>
  <c r="P24" i="5"/>
  <c r="L224" i="5"/>
  <c r="L239" i="5" s="1"/>
  <c r="L221" i="5"/>
  <c r="O230" i="5"/>
  <c r="P228" i="5" s="1"/>
  <c r="P230" i="5" s="1"/>
  <c r="O233" i="5"/>
  <c r="R91" i="4" l="1"/>
  <c r="Q24" i="5"/>
  <c r="M219" i="5"/>
  <c r="L249" i="5"/>
  <c r="AD73" i="3" s="1"/>
  <c r="P233" i="5"/>
  <c r="Q228" i="5"/>
  <c r="S91" i="4" l="1"/>
  <c r="R24" i="5"/>
  <c r="M224" i="5"/>
  <c r="M239" i="5" s="1"/>
  <c r="M221" i="5"/>
  <c r="Q233" i="5"/>
  <c r="Q230" i="5"/>
  <c r="R228" i="5" s="1"/>
  <c r="T91" i="4" l="1"/>
  <c r="S24" i="5"/>
  <c r="N219" i="5"/>
  <c r="M249" i="5"/>
  <c r="AE73" i="3" s="1"/>
  <c r="R233" i="5"/>
  <c r="R230" i="5"/>
  <c r="S228" i="5" s="1"/>
  <c r="S230" i="5" s="1"/>
  <c r="U91" i="4" l="1"/>
  <c r="T24" i="5"/>
  <c r="N224" i="5"/>
  <c r="N239" i="5" s="1"/>
  <c r="N221" i="5"/>
  <c r="S233" i="5"/>
  <c r="T228" i="5"/>
  <c r="V91" i="4" l="1"/>
  <c r="U24" i="5"/>
  <c r="O219" i="5"/>
  <c r="N249" i="5"/>
  <c r="AF73" i="3" s="1"/>
  <c r="T233" i="5"/>
  <c r="T230" i="5"/>
  <c r="U228" i="5" s="1"/>
  <c r="W91" i="4" l="1"/>
  <c r="V24" i="5"/>
  <c r="O224" i="5"/>
  <c r="O239" i="5" s="1"/>
  <c r="O221" i="5"/>
  <c r="U233" i="5"/>
  <c r="U230" i="5"/>
  <c r="V228" i="5" s="1"/>
  <c r="X91" i="4" l="1"/>
  <c r="W24" i="5"/>
  <c r="P219" i="5"/>
  <c r="O249" i="5"/>
  <c r="AG73" i="3" s="1"/>
  <c r="V233" i="5"/>
  <c r="V230" i="5"/>
  <c r="W228" i="5" s="1"/>
  <c r="Y91" i="4" l="1"/>
  <c r="X24" i="5"/>
  <c r="P224" i="5"/>
  <c r="P239" i="5" s="1"/>
  <c r="P221" i="5"/>
  <c r="W233" i="5"/>
  <c r="W230" i="5"/>
  <c r="X228" i="5" s="1"/>
  <c r="Z91" i="4" l="1"/>
  <c r="Y24" i="5"/>
  <c r="Q219" i="5"/>
  <c r="P249" i="5"/>
  <c r="AH73" i="3" s="1"/>
  <c r="X230" i="5"/>
  <c r="Y228" i="5" s="1"/>
  <c r="Y230" i="5" s="1"/>
  <c r="X233" i="5"/>
  <c r="AA91" i="4" l="1"/>
  <c r="Z24" i="5"/>
  <c r="Q221" i="5"/>
  <c r="Q224" i="5"/>
  <c r="Q239" i="5" s="1"/>
  <c r="Y233" i="5"/>
  <c r="Z228" i="5"/>
  <c r="AA24" i="5" l="1"/>
  <c r="R219" i="5"/>
  <c r="Q249" i="5"/>
  <c r="AI73" i="3" s="1"/>
  <c r="Z233" i="5"/>
  <c r="Z230" i="5"/>
  <c r="AA228" i="5" s="1"/>
  <c r="R221" i="5" l="1"/>
  <c r="R224" i="5"/>
  <c r="R239" i="5" s="1"/>
  <c r="AA233" i="5"/>
  <c r="AA230" i="5"/>
  <c r="S219" i="5" l="1"/>
  <c r="R249" i="5"/>
  <c r="AJ73" i="3" s="1"/>
  <c r="S221" i="5" l="1"/>
  <c r="S224" i="5"/>
  <c r="S239" i="5" s="1"/>
  <c r="T219" i="5" l="1"/>
  <c r="S249" i="5"/>
  <c r="AK73" i="3" s="1"/>
  <c r="T224" i="5" l="1"/>
  <c r="T239" i="5" s="1"/>
  <c r="T221" i="5"/>
  <c r="U219" i="5" l="1"/>
  <c r="T249" i="5"/>
  <c r="AL73" i="3" s="1"/>
  <c r="U221" i="5" l="1"/>
  <c r="U224" i="5"/>
  <c r="U239" i="5" s="1"/>
  <c r="V219" i="5" l="1"/>
  <c r="U249" i="5"/>
  <c r="AM73" i="3" s="1"/>
  <c r="V224" i="5" l="1"/>
  <c r="V239" i="5" s="1"/>
  <c r="V221" i="5"/>
  <c r="W219" i="5" l="1"/>
  <c r="V249" i="5"/>
  <c r="AN73" i="3" s="1"/>
  <c r="W224" i="5" l="1"/>
  <c r="W239" i="5" s="1"/>
  <c r="W221" i="5"/>
  <c r="X219" i="5" l="1"/>
  <c r="W249" i="5"/>
  <c r="AO73" i="3" s="1"/>
  <c r="X221" i="5" l="1"/>
  <c r="X224" i="5"/>
  <c r="X239" i="5" s="1"/>
  <c r="Y219" i="5" l="1"/>
  <c r="X249" i="5"/>
  <c r="AP73" i="3" s="1"/>
  <c r="Y224" i="5" l="1"/>
  <c r="Y239" i="5" s="1"/>
  <c r="Y221" i="5"/>
  <c r="Z219" i="5" l="1"/>
  <c r="Y249" i="5"/>
  <c r="AQ73" i="3" s="1"/>
  <c r="Z221" i="5" l="1"/>
  <c r="Z224" i="5"/>
  <c r="Z239" i="5" s="1"/>
  <c r="AA219" i="5" l="1"/>
  <c r="Z249" i="5"/>
  <c r="AR73" i="3" s="1"/>
  <c r="AA224" i="5" l="1"/>
  <c r="AA239" i="5" s="1"/>
  <c r="AA221" i="5"/>
  <c r="AA249" i="5" s="1"/>
  <c r="AS73" i="3" s="1"/>
  <c r="H201" i="5" l="1"/>
  <c r="I201" i="5" s="1"/>
  <c r="J201" i="5" s="1"/>
  <c r="K201" i="5" s="1"/>
  <c r="L201" i="5" s="1"/>
  <c r="M201" i="5" s="1"/>
  <c r="N201" i="5" s="1"/>
  <c r="O201" i="5" s="1"/>
  <c r="P201" i="5" s="1"/>
  <c r="Q201" i="5" s="1"/>
  <c r="R201" i="5" s="1"/>
  <c r="S201" i="5" s="1"/>
  <c r="T201" i="5" s="1"/>
  <c r="U201" i="5" s="1"/>
  <c r="V201" i="5" s="1"/>
  <c r="W201" i="5" s="1"/>
  <c r="X201" i="5" s="1"/>
  <c r="Y201" i="5" s="1"/>
  <c r="Z201" i="5" s="1"/>
  <c r="AA201" i="5" s="1"/>
  <c r="F148" i="4" a="1"/>
  <c r="F148" i="4" s="1"/>
  <c r="K40" i="4" l="1"/>
  <c r="E38" i="4"/>
  <c r="E37" i="4"/>
  <c r="L36" i="4" l="1"/>
  <c r="L35" i="4"/>
  <c r="C169" i="5"/>
  <c r="C88" i="5"/>
  <c r="M141" i="4" a="1"/>
  <c r="M141" i="4" s="1"/>
  <c r="N141" i="4" a="1"/>
  <c r="N141" i="4" s="1"/>
  <c r="O141" i="4" a="1"/>
  <c r="O141" i="4" s="1"/>
  <c r="P141" i="4" a="1"/>
  <c r="P141" i="4" s="1"/>
  <c r="Q141" i="4" a="1"/>
  <c r="Q141" i="4" s="1"/>
  <c r="R141" i="4" a="1"/>
  <c r="R141" i="4" s="1"/>
  <c r="S141" i="4" a="1"/>
  <c r="S141" i="4" s="1"/>
  <c r="T141" i="4" a="1"/>
  <c r="T141" i="4" s="1"/>
  <c r="U141" i="4" a="1"/>
  <c r="U141" i="4" s="1"/>
  <c r="V141" i="4" a="1"/>
  <c r="V141" i="4" s="1"/>
  <c r="W141" i="4" a="1"/>
  <c r="W141" i="4" s="1"/>
  <c r="X141" i="4" a="1"/>
  <c r="X141" i="4" s="1"/>
  <c r="Y141" i="4" a="1"/>
  <c r="Y141" i="4" s="1"/>
  <c r="Z141" i="4" a="1"/>
  <c r="Z141" i="4" s="1"/>
  <c r="AA141" i="4" a="1"/>
  <c r="AA141" i="4" s="1"/>
  <c r="G141" i="4" a="1"/>
  <c r="G141" i="4" s="1"/>
  <c r="H141" i="4" a="1"/>
  <c r="H141" i="4" s="1"/>
  <c r="I141" i="4" a="1"/>
  <c r="I141" i="4" s="1"/>
  <c r="J141" i="4" a="1"/>
  <c r="J141" i="4" s="1"/>
  <c r="K141" i="4" a="1"/>
  <c r="K141" i="4" s="1"/>
  <c r="L141" i="4" a="1"/>
  <c r="L141" i="4" s="1"/>
  <c r="F150" i="5"/>
  <c r="G139" i="4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G185" i="5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D68" i="4" l="1"/>
  <c r="D69" i="4"/>
  <c r="G209" i="5"/>
  <c r="M295" i="5"/>
  <c r="M296" i="5"/>
  <c r="H295" i="5"/>
  <c r="H296" i="5"/>
  <c r="X295" i="5"/>
  <c r="X296" i="5"/>
  <c r="W295" i="5"/>
  <c r="W296" i="5"/>
  <c r="N295" i="5"/>
  <c r="N296" i="5"/>
  <c r="U295" i="5"/>
  <c r="U296" i="5"/>
  <c r="S295" i="5"/>
  <c r="S296" i="5"/>
  <c r="P295" i="5"/>
  <c r="P296" i="5"/>
  <c r="V295" i="5"/>
  <c r="V296" i="5"/>
  <c r="AA295" i="5"/>
  <c r="AA296" i="5"/>
  <c r="L295" i="5"/>
  <c r="L296" i="5"/>
  <c r="Z295" i="5"/>
  <c r="Z296" i="5"/>
  <c r="R295" i="5"/>
  <c r="R296" i="5"/>
  <c r="J295" i="5"/>
  <c r="J296" i="5"/>
  <c r="I295" i="5"/>
  <c r="I296" i="5"/>
  <c r="O295" i="5"/>
  <c r="O296" i="5"/>
  <c r="G295" i="5"/>
  <c r="G296" i="5"/>
  <c r="G301" i="5" s="1"/>
  <c r="T295" i="5"/>
  <c r="T296" i="5"/>
  <c r="K295" i="5"/>
  <c r="K296" i="5"/>
  <c r="Y295" i="5"/>
  <c r="Y296" i="5"/>
  <c r="Q295" i="5"/>
  <c r="Q296" i="5"/>
  <c r="J150" i="5"/>
  <c r="I150" i="5"/>
  <c r="H150" i="5"/>
  <c r="S150" i="5"/>
  <c r="P150" i="5"/>
  <c r="O150" i="5"/>
  <c r="N150" i="5"/>
  <c r="U150" i="5"/>
  <c r="T150" i="5"/>
  <c r="AA150" i="5"/>
  <c r="L150" i="5"/>
  <c r="Z150" i="5"/>
  <c r="R150" i="5"/>
  <c r="X150" i="5"/>
  <c r="W150" i="5"/>
  <c r="V150" i="5"/>
  <c r="G150" i="5"/>
  <c r="M150" i="5"/>
  <c r="K150" i="5"/>
  <c r="Y150" i="5"/>
  <c r="Q150" i="5"/>
  <c r="H54" i="5"/>
  <c r="H55" i="5"/>
  <c r="AA20" i="5"/>
  <c r="Z20" i="5"/>
  <c r="Y20" i="5"/>
  <c r="AA16" i="5"/>
  <c r="Z16" i="5"/>
  <c r="Y16" i="5"/>
  <c r="Y9" i="5"/>
  <c r="Y19" i="5" s="1"/>
  <c r="Z9" i="5"/>
  <c r="Z19" i="5" s="1"/>
  <c r="AA9" i="5"/>
  <c r="AA19" i="5" s="1"/>
  <c r="H85" i="5"/>
  <c r="I85" i="5" s="1"/>
  <c r="J85" i="5" s="1"/>
  <c r="K85" i="5" s="1"/>
  <c r="L85" i="5" s="1"/>
  <c r="M85" i="5" s="1"/>
  <c r="N85" i="5" s="1"/>
  <c r="O85" i="5" s="1"/>
  <c r="P85" i="5" s="1"/>
  <c r="Q85" i="5" s="1"/>
  <c r="R85" i="5" s="1"/>
  <c r="S85" i="5" s="1"/>
  <c r="T85" i="5" s="1"/>
  <c r="U85" i="5" s="1"/>
  <c r="V85" i="5" s="1"/>
  <c r="W85" i="5" s="1"/>
  <c r="X85" i="5" s="1"/>
  <c r="Y85" i="5" s="1"/>
  <c r="Z85" i="5" s="1"/>
  <c r="AA85" i="5" s="1"/>
  <c r="H41" i="5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H6" i="5"/>
  <c r="H115" i="5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5" i="5"/>
  <c r="H124" i="5"/>
  <c r="H123" i="5"/>
  <c r="I6" i="5" l="1"/>
  <c r="Z70" i="3"/>
  <c r="I55" i="5"/>
  <c r="I54" i="5"/>
  <c r="D70" i="4"/>
  <c r="K208" i="5"/>
  <c r="K243" i="5" s="1"/>
  <c r="K241" i="5" s="1" a="1"/>
  <c r="K241" i="5" s="1"/>
  <c r="H208" i="5"/>
  <c r="H243" i="5" s="1"/>
  <c r="H241" i="5" s="1" a="1"/>
  <c r="H241" i="5" s="1"/>
  <c r="AA208" i="5"/>
  <c r="AA243" i="5" s="1"/>
  <c r="AA241" i="5" s="1" a="1"/>
  <c r="AA241" i="5" s="1"/>
  <c r="Q208" i="5"/>
  <c r="Q243" i="5" s="1"/>
  <c r="Q241" i="5" s="1" a="1"/>
  <c r="Q241" i="5" s="1"/>
  <c r="W208" i="5"/>
  <c r="W243" i="5" s="1"/>
  <c r="W241" i="5" s="1" a="1"/>
  <c r="W241" i="5" s="1"/>
  <c r="M208" i="5"/>
  <c r="M243" i="5" s="1"/>
  <c r="M241" i="5" s="1" a="1"/>
  <c r="M241" i="5" s="1"/>
  <c r="O208" i="5"/>
  <c r="O243" i="5" s="1"/>
  <c r="O241" i="5" s="1" a="1"/>
  <c r="O241" i="5" s="1"/>
  <c r="P208" i="5"/>
  <c r="P243" i="5" s="1"/>
  <c r="P241" i="5" s="1" a="1"/>
  <c r="P241" i="5" s="1"/>
  <c r="V208" i="5"/>
  <c r="V243" i="5" s="1"/>
  <c r="V241" i="5" s="1" a="1"/>
  <c r="V241" i="5" s="1"/>
  <c r="J208" i="5"/>
  <c r="J243" i="5" s="1"/>
  <c r="J241" i="5" s="1" a="1"/>
  <c r="J241" i="5" s="1"/>
  <c r="Z208" i="5"/>
  <c r="Z243" i="5" s="1"/>
  <c r="Z241" i="5" s="1" a="1"/>
  <c r="Z241" i="5" s="1"/>
  <c r="R208" i="5"/>
  <c r="R243" i="5" s="1"/>
  <c r="R241" i="5" s="1" a="1"/>
  <c r="R241" i="5" s="1"/>
  <c r="Y208" i="5"/>
  <c r="Y243" i="5" s="1"/>
  <c r="Y241" i="5" s="1" a="1"/>
  <c r="Y241" i="5" s="1"/>
  <c r="L208" i="5"/>
  <c r="L243" i="5" s="1"/>
  <c r="L241" i="5" s="1" a="1"/>
  <c r="L241" i="5" s="1"/>
  <c r="T208" i="5"/>
  <c r="T243" i="5" s="1"/>
  <c r="T241" i="5" s="1" a="1"/>
  <c r="T241" i="5" s="1"/>
  <c r="S208" i="5"/>
  <c r="S243" i="5" s="1"/>
  <c r="S241" i="5" s="1" a="1"/>
  <c r="S241" i="5" s="1"/>
  <c r="I208" i="5"/>
  <c r="I243" i="5" s="1"/>
  <c r="I241" i="5" s="1" a="1"/>
  <c r="I241" i="5" s="1"/>
  <c r="X208" i="5"/>
  <c r="X243" i="5" s="1"/>
  <c r="X241" i="5" s="1" a="1"/>
  <c r="X241" i="5" s="1"/>
  <c r="N208" i="5"/>
  <c r="N243" i="5" s="1"/>
  <c r="N241" i="5" s="1" a="1"/>
  <c r="N241" i="5" s="1"/>
  <c r="H207" i="5"/>
  <c r="H212" i="5" s="1"/>
  <c r="H238" i="5" s="1"/>
  <c r="H236" i="5" s="1" a="1"/>
  <c r="H236" i="5" s="1"/>
  <c r="H103" i="5" s="1"/>
  <c r="U208" i="5"/>
  <c r="U243" i="5" s="1"/>
  <c r="U241" i="5" s="1" a="1"/>
  <c r="U241" i="5" s="1"/>
  <c r="AA11" i="5"/>
  <c r="Z11" i="5"/>
  <c r="Z21" i="5"/>
  <c r="Z43" i="5" s="1"/>
  <c r="Y11" i="5"/>
  <c r="Y21" i="5"/>
  <c r="Y43" i="5" s="1"/>
  <c r="AA21" i="5"/>
  <c r="AA43" i="5" s="1"/>
  <c r="H265" i="5" l="1"/>
  <c r="J6" i="5"/>
  <c r="AA70" i="3"/>
  <c r="J54" i="5"/>
  <c r="J55" i="5"/>
  <c r="Y46" i="5"/>
  <c r="Z46" i="5"/>
  <c r="H209" i="5"/>
  <c r="Z45" i="5"/>
  <c r="Z44" i="5"/>
  <c r="Y45" i="5"/>
  <c r="Y44" i="5"/>
  <c r="AA45" i="5"/>
  <c r="AA46" i="5"/>
  <c r="AA44" i="5"/>
  <c r="I207" i="5" l="1"/>
  <c r="I212" i="5" s="1"/>
  <c r="I238" i="5" s="1"/>
  <c r="I236" i="5" s="1" a="1"/>
  <c r="I236" i="5" s="1"/>
  <c r="H248" i="5"/>
  <c r="H246" i="5" s="1" a="1"/>
  <c r="H246" i="5" s="1"/>
  <c r="K6" i="5"/>
  <c r="AB70" i="3"/>
  <c r="K55" i="5"/>
  <c r="K54" i="5"/>
  <c r="H167" i="5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G84" i="4"/>
  <c r="H84" i="4" s="1"/>
  <c r="I84" i="4" s="1"/>
  <c r="J84" i="4" s="1"/>
  <c r="K84" i="4" s="1"/>
  <c r="L84" i="4" s="1"/>
  <c r="M84" i="4" s="1"/>
  <c r="N84" i="4" s="1"/>
  <c r="O84" i="4" s="1"/>
  <c r="P84" i="4" s="1"/>
  <c r="Q84" i="4" s="1"/>
  <c r="R84" i="4" s="1"/>
  <c r="S84" i="4" s="1"/>
  <c r="T84" i="4" s="1"/>
  <c r="U84" i="4" s="1"/>
  <c r="V84" i="4" s="1"/>
  <c r="W84" i="4" s="1"/>
  <c r="X84" i="4" s="1"/>
  <c r="Y84" i="4" s="1"/>
  <c r="Z84" i="4" s="1"/>
  <c r="AA84" i="4" s="1"/>
  <c r="H147" i="5"/>
  <c r="I147" i="5" s="1"/>
  <c r="J147" i="5" s="1"/>
  <c r="K147" i="5" s="1"/>
  <c r="L147" i="5" s="1"/>
  <c r="M147" i="5" s="1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I209" i="5" l="1"/>
  <c r="L6" i="5"/>
  <c r="AC70" i="3"/>
  <c r="L54" i="5"/>
  <c r="L55" i="5"/>
  <c r="I248" i="5"/>
  <c r="I246" i="5" s="1" a="1"/>
  <c r="I246" i="5" s="1"/>
  <c r="J207" i="5"/>
  <c r="H56" i="5"/>
  <c r="I56" i="5" s="1"/>
  <c r="J56" i="5" s="1"/>
  <c r="K56" i="5" s="1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H53" i="5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M6" i="5" l="1"/>
  <c r="AD70" i="3"/>
  <c r="Z53" i="5"/>
  <c r="Y61" i="5"/>
  <c r="Z56" i="5"/>
  <c r="Y64" i="5"/>
  <c r="M54" i="5"/>
  <c r="M55" i="5"/>
  <c r="I103" i="5"/>
  <c r="I265" i="5"/>
  <c r="J212" i="5"/>
  <c r="J238" i="5" s="1"/>
  <c r="J236" i="5" s="1" a="1"/>
  <c r="J236" i="5" s="1"/>
  <c r="J209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X9" i="5"/>
  <c r="X19" i="5" s="1"/>
  <c r="W9" i="5"/>
  <c r="W19" i="5" s="1"/>
  <c r="V9" i="5"/>
  <c r="V11" i="5" s="1"/>
  <c r="U9" i="5"/>
  <c r="U11" i="5" s="1"/>
  <c r="T9" i="5"/>
  <c r="T11" i="5" s="1"/>
  <c r="S9" i="5"/>
  <c r="S11" i="5" s="1"/>
  <c r="R9" i="5"/>
  <c r="R11" i="5" s="1"/>
  <c r="Q9" i="5"/>
  <c r="Q19" i="5" s="1"/>
  <c r="P9" i="5"/>
  <c r="P19" i="5" s="1"/>
  <c r="O9" i="5"/>
  <c r="O19" i="5" s="1"/>
  <c r="N9" i="5"/>
  <c r="N11" i="5" s="1"/>
  <c r="M9" i="5"/>
  <c r="M11" i="5" s="1"/>
  <c r="L9" i="5"/>
  <c r="L11" i="5" s="1"/>
  <c r="K9" i="5"/>
  <c r="K11" i="5" s="1"/>
  <c r="J9" i="5"/>
  <c r="J19" i="5" s="1"/>
  <c r="I9" i="5"/>
  <c r="I11" i="5" s="1"/>
  <c r="H9" i="5"/>
  <c r="H19" i="5" s="1"/>
  <c r="H21" i="5" s="1"/>
  <c r="N6" i="5" l="1"/>
  <c r="AE70" i="3"/>
  <c r="AA56" i="5"/>
  <c r="AA64" i="5" s="1"/>
  <c r="Z64" i="5"/>
  <c r="N54" i="5"/>
  <c r="N55" i="5"/>
  <c r="AA53" i="5"/>
  <c r="AA61" i="5" s="1"/>
  <c r="Z61" i="5"/>
  <c r="K207" i="5"/>
  <c r="J248" i="5"/>
  <c r="J246" i="5" s="1" a="1"/>
  <c r="J246" i="5" s="1"/>
  <c r="J21" i="5"/>
  <c r="J43" i="5" s="1"/>
  <c r="V19" i="5"/>
  <c r="V21" i="5" s="1"/>
  <c r="V43" i="5" s="1"/>
  <c r="V64" i="5" s="1"/>
  <c r="O21" i="5"/>
  <c r="O43" i="5" s="1"/>
  <c r="O64" i="5" s="1"/>
  <c r="W21" i="5"/>
  <c r="W43" i="5" s="1"/>
  <c r="W64" i="5" s="1"/>
  <c r="S19" i="5"/>
  <c r="S21" i="5" s="1"/>
  <c r="S43" i="5" s="1"/>
  <c r="S64" i="5" s="1"/>
  <c r="Q21" i="5"/>
  <c r="Q43" i="5" s="1"/>
  <c r="Q64" i="5" s="1"/>
  <c r="N19" i="5"/>
  <c r="N21" i="5" s="1"/>
  <c r="N43" i="5" s="1"/>
  <c r="N64" i="5" s="1"/>
  <c r="K19" i="5"/>
  <c r="K21" i="5" s="1"/>
  <c r="H43" i="5"/>
  <c r="P21" i="5"/>
  <c r="P43" i="5" s="1"/>
  <c r="P64" i="5" s="1"/>
  <c r="X21" i="5"/>
  <c r="X43" i="5" s="1"/>
  <c r="X64" i="5" s="1"/>
  <c r="U19" i="5"/>
  <c r="U21" i="5" s="1"/>
  <c r="U43" i="5" s="1"/>
  <c r="U64" i="5" s="1"/>
  <c r="M19" i="5"/>
  <c r="M21" i="5" s="1"/>
  <c r="M43" i="5" s="1"/>
  <c r="M64" i="5" s="1"/>
  <c r="R19" i="5"/>
  <c r="R21" i="5" s="1"/>
  <c r="R43" i="5" s="1"/>
  <c r="R64" i="5" s="1"/>
  <c r="I19" i="5"/>
  <c r="I21" i="5" s="1"/>
  <c r="I43" i="5" s="1"/>
  <c r="T19" i="5"/>
  <c r="T21" i="5" s="1"/>
  <c r="T43" i="5" s="1"/>
  <c r="T64" i="5" s="1"/>
  <c r="L19" i="5"/>
  <c r="L21" i="5" s="1"/>
  <c r="L43" i="5" s="1"/>
  <c r="X11" i="5"/>
  <c r="W11" i="5"/>
  <c r="P11" i="5"/>
  <c r="Q11" i="5"/>
  <c r="H11" i="5"/>
  <c r="O11" i="5"/>
  <c r="O144" i="3"/>
  <c r="O146" i="3"/>
  <c r="O147" i="3"/>
  <c r="O148" i="3"/>
  <c r="F155" i="3"/>
  <c r="N155" i="3" s="1"/>
  <c r="O188" i="3"/>
  <c r="D190" i="3"/>
  <c r="O190" i="3"/>
  <c r="H216" i="3" s="1"/>
  <c r="D191" i="3"/>
  <c r="O191" i="3"/>
  <c r="D192" i="3"/>
  <c r="O192" i="3"/>
  <c r="F199" i="3"/>
  <c r="G199" i="3" s="1"/>
  <c r="O6" i="5" l="1"/>
  <c r="AF70" i="3"/>
  <c r="M63" i="5"/>
  <c r="M62" i="5"/>
  <c r="K43" i="5"/>
  <c r="K63" i="5" s="1"/>
  <c r="B292" i="5" a="1"/>
  <c r="B292" i="5" s="1"/>
  <c r="B147" i="5" a="1"/>
  <c r="B147" i="5" s="1"/>
  <c r="B256" i="5" a="1"/>
  <c r="B256" i="5" s="1"/>
  <c r="B201" i="5" a="1"/>
  <c r="B201" i="5" s="1"/>
  <c r="B167" i="5" a="1"/>
  <c r="B167" i="5" s="1"/>
  <c r="B183" i="5" a="1"/>
  <c r="B183" i="5" s="1"/>
  <c r="B85" i="5" a="1"/>
  <c r="B85" i="5" s="1"/>
  <c r="B41" i="5" a="1"/>
  <c r="B41" i="5" s="1"/>
  <c r="B6" i="5" a="1"/>
  <c r="B6" i="5" s="1"/>
  <c r="B115" i="5" a="1"/>
  <c r="B115" i="5" s="1"/>
  <c r="O55" i="5"/>
  <c r="N63" i="5"/>
  <c r="L64" i="5"/>
  <c r="L63" i="5"/>
  <c r="L62" i="5"/>
  <c r="H64" i="5"/>
  <c r="H44" i="5"/>
  <c r="H62" i="5"/>
  <c r="H63" i="5"/>
  <c r="O54" i="5"/>
  <c r="N62" i="5"/>
  <c r="J64" i="5"/>
  <c r="J63" i="5"/>
  <c r="J62" i="5"/>
  <c r="I64" i="5"/>
  <c r="I62" i="5"/>
  <c r="I63" i="5"/>
  <c r="Y122" i="4" a="1"/>
  <c r="Y122" i="4" s="1"/>
  <c r="Y51" i="5" s="1"/>
  <c r="Y59" i="5" s="1"/>
  <c r="Q122" i="4" a="1"/>
  <c r="Q122" i="4" s="1"/>
  <c r="Q51" i="5" s="1"/>
  <c r="I122" i="4" a="1"/>
  <c r="I122" i="4" s="1"/>
  <c r="I51" i="5" s="1"/>
  <c r="V115" i="4" a="1"/>
  <c r="V115" i="4" s="1"/>
  <c r="V52" i="5" s="1"/>
  <c r="P115" i="4" a="1"/>
  <c r="P115" i="4" s="1"/>
  <c r="P52" i="5" s="1"/>
  <c r="H115" i="4" a="1"/>
  <c r="H115" i="4" s="1"/>
  <c r="H52" i="5" s="1"/>
  <c r="I115" i="4" a="1"/>
  <c r="I115" i="4" s="1"/>
  <c r="I52" i="5" s="1"/>
  <c r="X122" i="4" a="1"/>
  <c r="X122" i="4" s="1"/>
  <c r="X51" i="5" s="1"/>
  <c r="P122" i="4" a="1"/>
  <c r="P122" i="4" s="1"/>
  <c r="P51" i="5" s="1"/>
  <c r="H122" i="4" a="1"/>
  <c r="H122" i="4" s="1"/>
  <c r="H51" i="5" s="1"/>
  <c r="O115" i="4" a="1"/>
  <c r="O115" i="4" s="1"/>
  <c r="O52" i="5" s="1"/>
  <c r="U115" i="4" a="1"/>
  <c r="U115" i="4" s="1"/>
  <c r="U52" i="5" s="1"/>
  <c r="V122" i="4" a="1"/>
  <c r="V122" i="4" s="1"/>
  <c r="V51" i="5" s="1"/>
  <c r="T115" i="4" a="1"/>
  <c r="T115" i="4" s="1"/>
  <c r="T52" i="5" s="1"/>
  <c r="M115" i="4" a="1"/>
  <c r="M115" i="4" s="1"/>
  <c r="M52" i="5" s="1"/>
  <c r="S122" i="4" a="1"/>
  <c r="S122" i="4" s="1"/>
  <c r="S51" i="5" s="1"/>
  <c r="W122" i="4" a="1"/>
  <c r="W122" i="4" s="1"/>
  <c r="W51" i="5" s="1"/>
  <c r="O122" i="4" a="1"/>
  <c r="O122" i="4" s="1"/>
  <c r="O51" i="5" s="1"/>
  <c r="AA115" i="4" a="1"/>
  <c r="AA115" i="4" s="1"/>
  <c r="AA52" i="5" s="1"/>
  <c r="AA60" i="5" s="1"/>
  <c r="N115" i="4" a="1"/>
  <c r="N115" i="4" s="1"/>
  <c r="N52" i="5" s="1"/>
  <c r="N122" i="4" a="1"/>
  <c r="N122" i="4" s="1"/>
  <c r="N51" i="5" s="1"/>
  <c r="AA122" i="4" a="1"/>
  <c r="AA122" i="4" s="1"/>
  <c r="AA51" i="5" s="1"/>
  <c r="AA59" i="5" s="1"/>
  <c r="K122" i="4" a="1"/>
  <c r="K122" i="4" s="1"/>
  <c r="K51" i="5" s="1"/>
  <c r="J115" i="4" a="1"/>
  <c r="J115" i="4" s="1"/>
  <c r="J52" i="5" s="1"/>
  <c r="R122" i="4" a="1"/>
  <c r="R122" i="4" s="1"/>
  <c r="R51" i="5" s="1"/>
  <c r="W115" i="4" a="1"/>
  <c r="W115" i="4" s="1"/>
  <c r="W52" i="5" s="1"/>
  <c r="G122" i="4" a="1"/>
  <c r="G122" i="4" s="1"/>
  <c r="Z115" i="4" a="1"/>
  <c r="Z115" i="4" s="1"/>
  <c r="Z52" i="5" s="1"/>
  <c r="Z60" i="5" s="1"/>
  <c r="X115" i="4" a="1"/>
  <c r="X115" i="4" s="1"/>
  <c r="X52" i="5" s="1"/>
  <c r="J122" i="4" a="1"/>
  <c r="J122" i="4" s="1"/>
  <c r="J51" i="5" s="1"/>
  <c r="F122" i="4" a="1"/>
  <c r="F122" i="4" s="1"/>
  <c r="U122" i="4" a="1"/>
  <c r="U122" i="4" s="1"/>
  <c r="U51" i="5" s="1"/>
  <c r="M122" i="4" a="1"/>
  <c r="M122" i="4" s="1"/>
  <c r="M51" i="5" s="1"/>
  <c r="S115" i="4" a="1"/>
  <c r="S115" i="4" s="1"/>
  <c r="S52" i="5" s="1"/>
  <c r="L115" i="4" a="1"/>
  <c r="L115" i="4" s="1"/>
  <c r="L52" i="5" s="1"/>
  <c r="G115" i="4" a="1"/>
  <c r="G115" i="4" s="1"/>
  <c r="T122" i="4" a="1"/>
  <c r="T122" i="4" s="1"/>
  <c r="T51" i="5" s="1"/>
  <c r="L122" i="4" a="1"/>
  <c r="L122" i="4" s="1"/>
  <c r="L51" i="5" s="1"/>
  <c r="Y115" i="4" a="1"/>
  <c r="Y115" i="4" s="1"/>
  <c r="Y52" i="5" s="1"/>
  <c r="Y60" i="5" s="1"/>
  <c r="R115" i="4" a="1"/>
  <c r="R115" i="4" s="1"/>
  <c r="R52" i="5" s="1"/>
  <c r="K115" i="4" a="1"/>
  <c r="K115" i="4" s="1"/>
  <c r="K52" i="5" s="1"/>
  <c r="F115" i="4" a="1"/>
  <c r="F115" i="4" s="1"/>
  <c r="Z122" i="4" a="1"/>
  <c r="Z122" i="4" s="1"/>
  <c r="Z51" i="5" s="1"/>
  <c r="Z59" i="5" s="1"/>
  <c r="Q115" i="4" a="1"/>
  <c r="Q115" i="4" s="1"/>
  <c r="Q52" i="5" s="1"/>
  <c r="V108" i="4" a="1"/>
  <c r="V108" i="4" s="1"/>
  <c r="N108" i="4" a="1"/>
  <c r="N108" i="4" s="1"/>
  <c r="F108" i="4" a="1"/>
  <c r="F108" i="4" s="1"/>
  <c r="AA108" i="4" a="1"/>
  <c r="AA108" i="4" s="1"/>
  <c r="K108" i="4" a="1"/>
  <c r="K108" i="4" s="1"/>
  <c r="X108" i="4" a="1"/>
  <c r="X108" i="4" s="1"/>
  <c r="H108" i="4" a="1"/>
  <c r="H108" i="4" s="1"/>
  <c r="O108" i="4" a="1"/>
  <c r="O108" i="4" s="1"/>
  <c r="G108" i="4" a="1"/>
  <c r="G108" i="4" s="1"/>
  <c r="U108" i="4" a="1"/>
  <c r="U108" i="4" s="1"/>
  <c r="M108" i="4" a="1"/>
  <c r="M108" i="4" s="1"/>
  <c r="S108" i="4" a="1"/>
  <c r="S108" i="4" s="1"/>
  <c r="Z108" i="4" a="1"/>
  <c r="Z108" i="4" s="1"/>
  <c r="R108" i="4" a="1"/>
  <c r="R108" i="4" s="1"/>
  <c r="J108" i="4" a="1"/>
  <c r="J108" i="4" s="1"/>
  <c r="Q108" i="4" a="1"/>
  <c r="Q108" i="4" s="1"/>
  <c r="I108" i="4" a="1"/>
  <c r="I108" i="4" s="1"/>
  <c r="T108" i="4" a="1"/>
  <c r="T108" i="4" s="1"/>
  <c r="L108" i="4" a="1"/>
  <c r="L108" i="4" s="1"/>
  <c r="P108" i="4" a="1"/>
  <c r="P108" i="4" s="1"/>
  <c r="Y108" i="4" a="1"/>
  <c r="Y108" i="4" s="1"/>
  <c r="W108" i="4" a="1"/>
  <c r="W108" i="4" s="1"/>
  <c r="X101" i="4" a="1"/>
  <c r="X101" i="4" s="1"/>
  <c r="K101" i="4" a="1"/>
  <c r="K101" i="4" s="1"/>
  <c r="U94" i="4" a="1"/>
  <c r="U94" i="4" s="1"/>
  <c r="M94" i="4" a="1"/>
  <c r="M94" i="4" s="1"/>
  <c r="I101" i="4" a="1"/>
  <c r="I101" i="4" s="1"/>
  <c r="R94" i="4" a="1"/>
  <c r="R94" i="4" s="1"/>
  <c r="N101" i="4" a="1"/>
  <c r="N101" i="4" s="1"/>
  <c r="Q94" i="4" a="1"/>
  <c r="Q94" i="4" s="1"/>
  <c r="I94" i="4" a="1"/>
  <c r="I94" i="4" s="1"/>
  <c r="Z101" i="4" a="1"/>
  <c r="Z101" i="4" s="1"/>
  <c r="G101" i="4" a="1"/>
  <c r="G101" i="4" s="1"/>
  <c r="X94" i="4" a="1"/>
  <c r="X94" i="4" s="1"/>
  <c r="P94" i="4" a="1"/>
  <c r="P94" i="4" s="1"/>
  <c r="F101" i="4" a="1"/>
  <c r="F101" i="4" s="1"/>
  <c r="W101" i="4" a="1"/>
  <c r="W101" i="4" s="1"/>
  <c r="Q101" i="4" a="1"/>
  <c r="Q101" i="4" s="1"/>
  <c r="J101" i="4" a="1"/>
  <c r="J101" i="4" s="1"/>
  <c r="T94" i="4" a="1"/>
  <c r="T94" i="4" s="1"/>
  <c r="L94" i="4" a="1"/>
  <c r="L94" i="4" s="1"/>
  <c r="AA101" i="4" a="1"/>
  <c r="AA101" i="4" s="1"/>
  <c r="O101" i="4" a="1"/>
  <c r="O101" i="4" s="1"/>
  <c r="Z94" i="4" a="1"/>
  <c r="Z94" i="4" s="1"/>
  <c r="J94" i="4" a="1"/>
  <c r="J94" i="4" s="1"/>
  <c r="U101" i="4" a="1"/>
  <c r="U101" i="4" s="1"/>
  <c r="Y94" i="4" a="1"/>
  <c r="Y94" i="4" s="1"/>
  <c r="M101" i="4" a="1"/>
  <c r="M101" i="4" s="1"/>
  <c r="G94" i="4" a="1"/>
  <c r="G94" i="4" s="1"/>
  <c r="V101" i="4" a="1"/>
  <c r="V101" i="4" s="1"/>
  <c r="P101" i="4" a="1"/>
  <c r="P101" i="4" s="1"/>
  <c r="AA94" i="4" a="1"/>
  <c r="AA94" i="4" s="1"/>
  <c r="S94" i="4" a="1"/>
  <c r="S94" i="4" s="1"/>
  <c r="K94" i="4" a="1"/>
  <c r="K94" i="4" s="1"/>
  <c r="H101" i="4" a="1"/>
  <c r="H101" i="4" s="1"/>
  <c r="T101" i="4" a="1"/>
  <c r="T101" i="4" s="1"/>
  <c r="H94" i="4" a="1"/>
  <c r="H94" i="4" s="1"/>
  <c r="S101" i="4" a="1"/>
  <c r="S101" i="4" s="1"/>
  <c r="O94" i="4" a="1"/>
  <c r="O94" i="4" s="1"/>
  <c r="Y101" i="4" a="1"/>
  <c r="Y101" i="4" s="1"/>
  <c r="R101" i="4" a="1"/>
  <c r="R101" i="4" s="1"/>
  <c r="L101" i="4" a="1"/>
  <c r="L101" i="4" s="1"/>
  <c r="V94" i="4" a="1"/>
  <c r="V94" i="4" s="1"/>
  <c r="N94" i="4" a="1"/>
  <c r="N94" i="4" s="1"/>
  <c r="F94" i="4" a="1"/>
  <c r="F94" i="4" s="1"/>
  <c r="W94" i="4" a="1"/>
  <c r="W94" i="4" s="1"/>
  <c r="J103" i="5"/>
  <c r="J265" i="5"/>
  <c r="K209" i="5"/>
  <c r="K212" i="5"/>
  <c r="K238" i="5" s="1"/>
  <c r="K236" i="5" s="1" a="1"/>
  <c r="K236" i="5" s="1"/>
  <c r="M46" i="5"/>
  <c r="M61" i="5" s="1"/>
  <c r="X46" i="5"/>
  <c r="X61" i="5" s="1"/>
  <c r="V46" i="5"/>
  <c r="V61" i="5" s="1"/>
  <c r="R46" i="5"/>
  <c r="R61" i="5" s="1"/>
  <c r="N46" i="5"/>
  <c r="N61" i="5" s="1"/>
  <c r="S46" i="5"/>
  <c r="S61" i="5" s="1"/>
  <c r="W46" i="5"/>
  <c r="W61" i="5" s="1"/>
  <c r="O46" i="5"/>
  <c r="O61" i="5" s="1"/>
  <c r="L46" i="5"/>
  <c r="L61" i="5" s="1"/>
  <c r="J46" i="5"/>
  <c r="J61" i="5" s="1"/>
  <c r="T46" i="5"/>
  <c r="T61" i="5" s="1"/>
  <c r="I46" i="5"/>
  <c r="I61" i="5" s="1"/>
  <c r="Q46" i="5"/>
  <c r="Q61" i="5" s="1"/>
  <c r="U46" i="5"/>
  <c r="U61" i="5" s="1"/>
  <c r="P46" i="5"/>
  <c r="P61" i="5" s="1"/>
  <c r="H61" i="5"/>
  <c r="R44" i="5"/>
  <c r="M44" i="5"/>
  <c r="O44" i="5"/>
  <c r="V44" i="5"/>
  <c r="S44" i="5"/>
  <c r="W44" i="5"/>
  <c r="X44" i="5"/>
  <c r="L44" i="5"/>
  <c r="J44" i="5"/>
  <c r="Q44" i="5"/>
  <c r="U44" i="5"/>
  <c r="P44" i="5"/>
  <c r="T44" i="5"/>
  <c r="I44" i="5"/>
  <c r="N44" i="5"/>
  <c r="S45" i="5"/>
  <c r="L45" i="5"/>
  <c r="H45" i="5"/>
  <c r="J45" i="5"/>
  <c r="W45" i="5"/>
  <c r="O45" i="5"/>
  <c r="V45" i="5"/>
  <c r="T45" i="5"/>
  <c r="M45" i="5"/>
  <c r="U45" i="5"/>
  <c r="X45" i="5"/>
  <c r="P45" i="5"/>
  <c r="I45" i="5"/>
  <c r="N45" i="5"/>
  <c r="R45" i="5"/>
  <c r="Q45" i="5"/>
  <c r="F168" i="3"/>
  <c r="N168" i="3" s="1"/>
  <c r="G215" i="3"/>
  <c r="O202" i="3" s="1"/>
  <c r="O215" i="3" s="1"/>
  <c r="G191" i="3"/>
  <c r="H191" i="3" s="1"/>
  <c r="P203" i="3"/>
  <c r="P216" i="3" s="1"/>
  <c r="O199" i="3"/>
  <c r="H199" i="3"/>
  <c r="P199" i="3" s="1"/>
  <c r="F212" i="3"/>
  <c r="N212" i="3" s="1"/>
  <c r="F216" i="3"/>
  <c r="N203" i="3" s="1"/>
  <c r="N216" i="3" s="1"/>
  <c r="H215" i="3"/>
  <c r="P202" i="3" s="1"/>
  <c r="P215" i="3" s="1"/>
  <c r="G212" i="3"/>
  <c r="O212" i="3" s="1"/>
  <c r="G214" i="3"/>
  <c r="O201" i="3" s="1"/>
  <c r="O214" i="3" s="1"/>
  <c r="F214" i="3"/>
  <c r="N201" i="3" s="1"/>
  <c r="N214" i="3" s="1"/>
  <c r="D214" i="3"/>
  <c r="L201" i="3" s="1"/>
  <c r="L214" i="3" s="1"/>
  <c r="F217" i="3"/>
  <c r="N204" i="3" s="1"/>
  <c r="N217" i="3" s="1"/>
  <c r="E215" i="3"/>
  <c r="M202" i="3" s="1"/>
  <c r="M215" i="3" s="1"/>
  <c r="D215" i="3"/>
  <c r="L202" i="3" s="1"/>
  <c r="L215" i="3" s="1"/>
  <c r="D217" i="3"/>
  <c r="L204" i="3" s="1"/>
  <c r="L217" i="3" s="1"/>
  <c r="G216" i="3"/>
  <c r="O203" i="3" s="1"/>
  <c r="O216" i="3" s="1"/>
  <c r="E169" i="3"/>
  <c r="M156" i="3" s="1"/>
  <c r="M169" i="3" s="1"/>
  <c r="G169" i="3"/>
  <c r="O156" i="3" s="1"/>
  <c r="O169" i="3" s="1"/>
  <c r="H170" i="3"/>
  <c r="P157" i="3" s="1"/>
  <c r="P170" i="3" s="1"/>
  <c r="F172" i="3"/>
  <c r="N159" i="3" s="1"/>
  <c r="N172" i="3" s="1"/>
  <c r="D173" i="3"/>
  <c r="L160" i="3" s="1"/>
  <c r="L173" i="3" s="1"/>
  <c r="E171" i="3"/>
  <c r="M158" i="3" s="1"/>
  <c r="M171" i="3" s="1"/>
  <c r="F173" i="3"/>
  <c r="N160" i="3" s="1"/>
  <c r="N173" i="3" s="1"/>
  <c r="F171" i="3"/>
  <c r="N158" i="3" s="1"/>
  <c r="N171" i="3" s="1"/>
  <c r="G173" i="3"/>
  <c r="O160" i="3" s="1"/>
  <c r="O173" i="3" s="1"/>
  <c r="D169" i="3"/>
  <c r="L156" i="3" s="1"/>
  <c r="L169" i="3" s="1"/>
  <c r="G171" i="3"/>
  <c r="O158" i="3" s="1"/>
  <c r="O171" i="3" s="1"/>
  <c r="H173" i="3"/>
  <c r="P160" i="3" s="1"/>
  <c r="P173" i="3" s="1"/>
  <c r="H171" i="3"/>
  <c r="P158" i="3" s="1"/>
  <c r="P171" i="3" s="1"/>
  <c r="D171" i="3"/>
  <c r="L158" i="3" s="1"/>
  <c r="L171" i="3" s="1"/>
  <c r="D172" i="3"/>
  <c r="L159" i="3" s="1"/>
  <c r="L172" i="3" s="1"/>
  <c r="E172" i="3"/>
  <c r="M159" i="3" s="1"/>
  <c r="M172" i="3" s="1"/>
  <c r="G146" i="3"/>
  <c r="H146" i="3" s="1"/>
  <c r="F169" i="3"/>
  <c r="N156" i="3" s="1"/>
  <c r="N169" i="3" s="1"/>
  <c r="G172" i="3"/>
  <c r="O159" i="3" s="1"/>
  <c r="O172" i="3" s="1"/>
  <c r="H169" i="3"/>
  <c r="P156" i="3" s="1"/>
  <c r="P169" i="3" s="1"/>
  <c r="H172" i="3"/>
  <c r="P159" i="3" s="1"/>
  <c r="P172" i="3" s="1"/>
  <c r="D170" i="3"/>
  <c r="L157" i="3" s="1"/>
  <c r="L170" i="3" s="1"/>
  <c r="F170" i="3"/>
  <c r="N157" i="3" s="1"/>
  <c r="N170" i="3" s="1"/>
  <c r="G148" i="3"/>
  <c r="H148" i="3" s="1"/>
  <c r="G170" i="3"/>
  <c r="O157" i="3" s="1"/>
  <c r="O170" i="3" s="1"/>
  <c r="E170" i="3"/>
  <c r="M157" i="3" s="1"/>
  <c r="M170" i="3" s="1"/>
  <c r="E173" i="3"/>
  <c r="M160" i="3" s="1"/>
  <c r="M173" i="3" s="1"/>
  <c r="G147" i="3"/>
  <c r="H147" i="3" s="1"/>
  <c r="E214" i="3"/>
  <c r="M201" i="3" s="1"/>
  <c r="M214" i="3" s="1"/>
  <c r="G192" i="3"/>
  <c r="H192" i="3" s="1"/>
  <c r="E217" i="3"/>
  <c r="M204" i="3" s="1"/>
  <c r="M217" i="3" s="1"/>
  <c r="G190" i="3"/>
  <c r="H190" i="3" s="1"/>
  <c r="G217" i="3"/>
  <c r="O204" i="3" s="1"/>
  <c r="O217" i="3" s="1"/>
  <c r="H214" i="3"/>
  <c r="P201" i="3" s="1"/>
  <c r="P214" i="3" s="1"/>
  <c r="E216" i="3"/>
  <c r="M203" i="3" s="1"/>
  <c r="M216" i="3" s="1"/>
  <c r="F213" i="3"/>
  <c r="N200" i="3" s="1"/>
  <c r="N213" i="3" s="1"/>
  <c r="F215" i="3"/>
  <c r="N202" i="3" s="1"/>
  <c r="N215" i="3" s="1"/>
  <c r="H217" i="3"/>
  <c r="P204" i="3" s="1"/>
  <c r="P217" i="3" s="1"/>
  <c r="G213" i="3"/>
  <c r="O200" i="3" s="1"/>
  <c r="O213" i="3" s="1"/>
  <c r="E213" i="3"/>
  <c r="M200" i="3" s="1"/>
  <c r="M213" i="3" s="1"/>
  <c r="D213" i="3"/>
  <c r="L200" i="3" s="1"/>
  <c r="L213" i="3" s="1"/>
  <c r="D216" i="3"/>
  <c r="L203" i="3" s="1"/>
  <c r="L216" i="3" s="1"/>
  <c r="H213" i="3"/>
  <c r="P200" i="3" s="1"/>
  <c r="P213" i="3" s="1"/>
  <c r="E155" i="3"/>
  <c r="G155" i="3"/>
  <c r="N199" i="3"/>
  <c r="E199" i="3"/>
  <c r="K45" i="5" l="1"/>
  <c r="K64" i="5"/>
  <c r="K46" i="5"/>
  <c r="K61" i="5" s="1"/>
  <c r="K62" i="5"/>
  <c r="P6" i="5"/>
  <c r="AG70" i="3"/>
  <c r="K44" i="5"/>
  <c r="K59" i="5" s="1"/>
  <c r="H25" i="5"/>
  <c r="H59" i="5"/>
  <c r="J59" i="5"/>
  <c r="T59" i="5"/>
  <c r="V59" i="5"/>
  <c r="O59" i="5"/>
  <c r="Q59" i="5"/>
  <c r="L59" i="5"/>
  <c r="M59" i="5"/>
  <c r="R59" i="5"/>
  <c r="W59" i="5"/>
  <c r="P59" i="5"/>
  <c r="N59" i="5"/>
  <c r="I59" i="5"/>
  <c r="U59" i="5"/>
  <c r="S59" i="5"/>
  <c r="X59" i="5"/>
  <c r="X60" i="5"/>
  <c r="J60" i="5"/>
  <c r="L60" i="5"/>
  <c r="Q60" i="5"/>
  <c r="K60" i="5"/>
  <c r="N60" i="5"/>
  <c r="M60" i="5"/>
  <c r="S60" i="5"/>
  <c r="R60" i="5"/>
  <c r="T60" i="5"/>
  <c r="P54" i="5"/>
  <c r="O62" i="5"/>
  <c r="P55" i="5"/>
  <c r="O63" i="5"/>
  <c r="V60" i="5"/>
  <c r="I60" i="5"/>
  <c r="O60" i="5"/>
  <c r="P60" i="5"/>
  <c r="W60" i="5"/>
  <c r="U60" i="5"/>
  <c r="H60" i="5"/>
  <c r="V29" i="5"/>
  <c r="W25" i="5"/>
  <c r="S26" i="5"/>
  <c r="V26" i="5"/>
  <c r="AA26" i="5"/>
  <c r="X25" i="5"/>
  <c r="M25" i="5"/>
  <c r="T29" i="5"/>
  <c r="U29" i="5"/>
  <c r="N29" i="5"/>
  <c r="L25" i="5"/>
  <c r="I29" i="5"/>
  <c r="N25" i="5"/>
  <c r="M26" i="5"/>
  <c r="Z26" i="5"/>
  <c r="K26" i="5"/>
  <c r="Q29" i="5"/>
  <c r="O29" i="5"/>
  <c r="T26" i="5"/>
  <c r="T25" i="5"/>
  <c r="V25" i="5"/>
  <c r="Y25" i="5"/>
  <c r="J26" i="5"/>
  <c r="I25" i="5"/>
  <c r="X26" i="5"/>
  <c r="J29" i="5"/>
  <c r="H29" i="5"/>
  <c r="L26" i="5"/>
  <c r="K25" i="5"/>
  <c r="U26" i="5"/>
  <c r="Q26" i="5"/>
  <c r="Q25" i="5"/>
  <c r="W29" i="5"/>
  <c r="R29" i="5"/>
  <c r="X29" i="5"/>
  <c r="U25" i="5"/>
  <c r="R26" i="5"/>
  <c r="S25" i="5"/>
  <c r="J25" i="5"/>
  <c r="W26" i="5"/>
  <c r="N26" i="5"/>
  <c r="Y29" i="5"/>
  <c r="Z29" i="5"/>
  <c r="K29" i="5"/>
  <c r="Y26" i="5"/>
  <c r="AA25" i="5"/>
  <c r="Z25" i="5"/>
  <c r="R25" i="5"/>
  <c r="P29" i="5"/>
  <c r="S29" i="5"/>
  <c r="AA29" i="5"/>
  <c r="O25" i="5"/>
  <c r="P26" i="5"/>
  <c r="O26" i="5"/>
  <c r="P25" i="5"/>
  <c r="I26" i="5"/>
  <c r="L29" i="5"/>
  <c r="M29" i="5"/>
  <c r="D26" i="5"/>
  <c r="H26" i="5"/>
  <c r="D25" i="5"/>
  <c r="F62" i="4"/>
  <c r="F63" i="4" s="1"/>
  <c r="L61" i="4" s="1"/>
  <c r="L63" i="4" s="1"/>
  <c r="L76" i="4" s="1"/>
  <c r="L79" i="4" s="1"/>
  <c r="E72" i="4"/>
  <c r="K248" i="5"/>
  <c r="K246" i="5" s="1" a="1"/>
  <c r="K246" i="5" s="1"/>
  <c r="L207" i="5"/>
  <c r="G152" i="5"/>
  <c r="G174" i="5" s="1"/>
  <c r="G176" i="5" s="1"/>
  <c r="G186" i="5" s="1"/>
  <c r="F152" i="5"/>
  <c r="AA158" i="5"/>
  <c r="Z158" i="5"/>
  <c r="Y158" i="5"/>
  <c r="X158" i="5"/>
  <c r="I158" i="5"/>
  <c r="I160" i="5" s="1"/>
  <c r="I100" i="5" s="1"/>
  <c r="Q158" i="5"/>
  <c r="S158" i="5"/>
  <c r="L158" i="5"/>
  <c r="M158" i="5"/>
  <c r="V158" i="5"/>
  <c r="W158" i="5"/>
  <c r="J158" i="5"/>
  <c r="J160" i="5" s="1"/>
  <c r="J100" i="5" s="1"/>
  <c r="R158" i="5"/>
  <c r="T158" i="5"/>
  <c r="U158" i="5"/>
  <c r="N158" i="5"/>
  <c r="K158" i="5"/>
  <c r="O158" i="5"/>
  <c r="P158" i="5"/>
  <c r="H158" i="5"/>
  <c r="H160" i="5" s="1"/>
  <c r="H100" i="5" s="1"/>
  <c r="H212" i="3"/>
  <c r="P212" i="3" s="1"/>
  <c r="E212" i="3"/>
  <c r="M212" i="3" s="1"/>
  <c r="D199" i="3"/>
  <c r="M199" i="3"/>
  <c r="H155" i="3"/>
  <c r="O155" i="3"/>
  <c r="G168" i="3"/>
  <c r="O168" i="3" s="1"/>
  <c r="M155" i="3"/>
  <c r="D155" i="3"/>
  <c r="E168" i="3"/>
  <c r="M168" i="3" s="1"/>
  <c r="N146" i="3"/>
  <c r="N190" i="3" s="1"/>
  <c r="C94" i="3" l="1"/>
  <c r="C101" i="3" s="1"/>
  <c r="E66" i="3"/>
  <c r="Q6" i="5"/>
  <c r="AH70" i="3"/>
  <c r="C189" i="5"/>
  <c r="C273" i="5"/>
  <c r="C303" i="5"/>
  <c r="J66" i="5"/>
  <c r="J91" i="5" s="1"/>
  <c r="J119" i="5" s="1"/>
  <c r="J130" i="5" s="1"/>
  <c r="I66" i="5"/>
  <c r="I91" i="5" s="1"/>
  <c r="I119" i="5" s="1"/>
  <c r="I130" i="5" s="1"/>
  <c r="K32" i="5"/>
  <c r="H66" i="5"/>
  <c r="H91" i="5" s="1"/>
  <c r="H119" i="5" s="1"/>
  <c r="H131" i="5" s="1"/>
  <c r="H136" i="5" s="1"/>
  <c r="Q55" i="5"/>
  <c r="P63" i="5"/>
  <c r="Q54" i="5"/>
  <c r="P62" i="5"/>
  <c r="L30" i="5"/>
  <c r="L33" i="5" s="1"/>
  <c r="L32" i="5"/>
  <c r="S30" i="5"/>
  <c r="S33" i="5" s="1"/>
  <c r="S32" i="5"/>
  <c r="Y30" i="5"/>
  <c r="Y33" i="5" s="1"/>
  <c r="Y32" i="5"/>
  <c r="U30" i="5"/>
  <c r="U33" i="5" s="1"/>
  <c r="U32" i="5"/>
  <c r="P30" i="5"/>
  <c r="P33" i="5" s="1"/>
  <c r="P32" i="5"/>
  <c r="X30" i="5"/>
  <c r="X33" i="5" s="1"/>
  <c r="X32" i="5"/>
  <c r="H30" i="5"/>
  <c r="H32" i="5"/>
  <c r="O30" i="5"/>
  <c r="O33" i="5" s="1"/>
  <c r="O32" i="5"/>
  <c r="T30" i="5"/>
  <c r="T33" i="5" s="1"/>
  <c r="T32" i="5"/>
  <c r="K30" i="5"/>
  <c r="K33" i="5" s="1"/>
  <c r="R30" i="5"/>
  <c r="R33" i="5" s="1"/>
  <c r="R32" i="5"/>
  <c r="J30" i="5"/>
  <c r="J33" i="5" s="1"/>
  <c r="J32" i="5"/>
  <c r="Q30" i="5"/>
  <c r="Q33" i="5" s="1"/>
  <c r="Q32" i="5"/>
  <c r="I30" i="5"/>
  <c r="I33" i="5" s="1"/>
  <c r="I32" i="5"/>
  <c r="V30" i="5"/>
  <c r="V33" i="5" s="1"/>
  <c r="V32" i="5"/>
  <c r="M30" i="5"/>
  <c r="M33" i="5" s="1"/>
  <c r="M32" i="5"/>
  <c r="AA30" i="5"/>
  <c r="AA33" i="5" s="1"/>
  <c r="AA32" i="5"/>
  <c r="Z30" i="5"/>
  <c r="Z33" i="5" s="1"/>
  <c r="Z32" i="5"/>
  <c r="W30" i="5"/>
  <c r="W33" i="5" s="1"/>
  <c r="W32" i="5"/>
  <c r="N30" i="5"/>
  <c r="N33" i="5" s="1"/>
  <c r="N32" i="5"/>
  <c r="K103" i="5"/>
  <c r="K265" i="5"/>
  <c r="L209" i="5"/>
  <c r="L212" i="5"/>
  <c r="L238" i="5" s="1"/>
  <c r="L236" i="5" s="1" a="1"/>
  <c r="L236" i="5" s="1"/>
  <c r="F174" i="5"/>
  <c r="F176" i="5" s="1"/>
  <c r="K66" i="5"/>
  <c r="K91" i="5" s="1"/>
  <c r="K119" i="5" s="1"/>
  <c r="K130" i="5" s="1"/>
  <c r="W159" i="5"/>
  <c r="W160" i="5" s="1"/>
  <c r="W100" i="5" s="1"/>
  <c r="V159" i="5"/>
  <c r="V160" i="5" s="1"/>
  <c r="V100" i="5" s="1"/>
  <c r="Y159" i="5"/>
  <c r="Y160" i="5" s="1"/>
  <c r="Y100" i="5" s="1"/>
  <c r="X159" i="5"/>
  <c r="X160" i="5" s="1"/>
  <c r="X100" i="5" s="1"/>
  <c r="AA159" i="5"/>
  <c r="AA160" i="5" s="1"/>
  <c r="AA100" i="5" s="1"/>
  <c r="Z159" i="5"/>
  <c r="Z160" i="5" s="1"/>
  <c r="Z100" i="5" s="1"/>
  <c r="U159" i="5"/>
  <c r="U160" i="5" s="1"/>
  <c r="U100" i="5" s="1"/>
  <c r="M159" i="5"/>
  <c r="M160" i="5" s="1"/>
  <c r="M100" i="5" s="1"/>
  <c r="Q159" i="5"/>
  <c r="Q160" i="5" s="1"/>
  <c r="Q100" i="5" s="1"/>
  <c r="O159" i="5"/>
  <c r="O160" i="5" s="1"/>
  <c r="O100" i="5" s="1"/>
  <c r="S159" i="5"/>
  <c r="S160" i="5" s="1"/>
  <c r="S100" i="5" s="1"/>
  <c r="T159" i="5"/>
  <c r="T160" i="5" s="1"/>
  <c r="T100" i="5" s="1"/>
  <c r="R159" i="5"/>
  <c r="R160" i="5" s="1"/>
  <c r="R100" i="5" s="1"/>
  <c r="P159" i="5"/>
  <c r="P160" i="5" s="1"/>
  <c r="P100" i="5" s="1"/>
  <c r="N159" i="5"/>
  <c r="N160" i="5" s="1"/>
  <c r="N100" i="5" s="1"/>
  <c r="L159" i="5"/>
  <c r="L160" i="5" s="1"/>
  <c r="L100" i="5" s="1"/>
  <c r="K159" i="5"/>
  <c r="K160" i="5" s="1"/>
  <c r="K100" i="5" s="1"/>
  <c r="D168" i="3"/>
  <c r="L168" i="3" s="1"/>
  <c r="L155" i="3"/>
  <c r="L199" i="3"/>
  <c r="D212" i="3"/>
  <c r="L212" i="3" s="1"/>
  <c r="P155" i="3"/>
  <c r="H168" i="3"/>
  <c r="P168" i="3" s="1"/>
  <c r="R6" i="5" l="1"/>
  <c r="AI70" i="3"/>
  <c r="J131" i="5"/>
  <c r="J136" i="5" s="1"/>
  <c r="I131" i="5"/>
  <c r="I136" i="5" s="1"/>
  <c r="H130" i="5"/>
  <c r="R54" i="5"/>
  <c r="Q62" i="5"/>
  <c r="R55" i="5"/>
  <c r="Q63" i="5"/>
  <c r="O189" i="3"/>
  <c r="O145" i="3"/>
  <c r="C158" i="3"/>
  <c r="C159" i="3" s="1"/>
  <c r="K159" i="3" s="1"/>
  <c r="C202" i="3"/>
  <c r="C215" i="3" s="1"/>
  <c r="K215" i="3" s="1"/>
  <c r="M207" i="5"/>
  <c r="L248" i="5"/>
  <c r="L246" i="5" s="1" a="1"/>
  <c r="L246" i="5" s="1"/>
  <c r="F186" i="5"/>
  <c r="F187" i="5"/>
  <c r="G187" i="5" s="1"/>
  <c r="K131" i="5"/>
  <c r="K136" i="5" s="1"/>
  <c r="L66" i="5"/>
  <c r="L91" i="5" s="1"/>
  <c r="L119" i="5" s="1"/>
  <c r="L131" i="5" s="1"/>
  <c r="L136" i="5" s="1"/>
  <c r="H33" i="5"/>
  <c r="S6" i="5" l="1"/>
  <c r="AJ70" i="3"/>
  <c r="S55" i="5"/>
  <c r="R63" i="5"/>
  <c r="S54" i="5"/>
  <c r="R62" i="5"/>
  <c r="C171" i="3"/>
  <c r="K171" i="3" s="1"/>
  <c r="K158" i="3"/>
  <c r="C157" i="3"/>
  <c r="K157" i="3" s="1"/>
  <c r="K202" i="3"/>
  <c r="C203" i="3"/>
  <c r="C216" i="3" s="1"/>
  <c r="K216" i="3" s="1"/>
  <c r="C160" i="3"/>
  <c r="C173" i="3" s="1"/>
  <c r="K173" i="3" s="1"/>
  <c r="C172" i="3"/>
  <c r="K172" i="3" s="1"/>
  <c r="C201" i="3"/>
  <c r="C214" i="3" s="1"/>
  <c r="K214" i="3" s="1"/>
  <c r="L103" i="5"/>
  <c r="L265" i="5"/>
  <c r="M212" i="5"/>
  <c r="M238" i="5" s="1"/>
  <c r="M236" i="5" s="1" a="1"/>
  <c r="M236" i="5" s="1"/>
  <c r="M209" i="5"/>
  <c r="L130" i="5"/>
  <c r="M66" i="5"/>
  <c r="M91" i="5" s="1"/>
  <c r="M119" i="5" s="1"/>
  <c r="M131" i="5" s="1"/>
  <c r="M136" i="5" s="1"/>
  <c r="H34" i="5"/>
  <c r="I34" i="5"/>
  <c r="T6" i="5" l="1"/>
  <c r="AK70" i="3"/>
  <c r="I73" i="5"/>
  <c r="I74" i="5" s="1"/>
  <c r="I95" i="5" s="1"/>
  <c r="I77" i="5"/>
  <c r="I96" i="5" s="1"/>
  <c r="H73" i="5"/>
  <c r="H74" i="5" s="1"/>
  <c r="G74" i="5" s="1"/>
  <c r="H77" i="5"/>
  <c r="G77" i="5" s="1"/>
  <c r="G62" i="5"/>
  <c r="G59" i="5"/>
  <c r="G64" i="5"/>
  <c r="G61" i="5"/>
  <c r="G63" i="5"/>
  <c r="G60" i="5"/>
  <c r="C156" i="3"/>
  <c r="C169" i="3" s="1"/>
  <c r="K169" i="3" s="1"/>
  <c r="C170" i="3"/>
  <c r="K170" i="3" s="1"/>
  <c r="T55" i="5"/>
  <c r="S63" i="5"/>
  <c r="T54" i="5"/>
  <c r="S62" i="5"/>
  <c r="K160" i="3"/>
  <c r="C204" i="3"/>
  <c r="C217" i="3" s="1"/>
  <c r="K217" i="3" s="1"/>
  <c r="K203" i="3"/>
  <c r="C200" i="3"/>
  <c r="C213" i="3" s="1"/>
  <c r="K213" i="3" s="1"/>
  <c r="K201" i="3"/>
  <c r="N207" i="5"/>
  <c r="M248" i="5"/>
  <c r="M246" i="5" s="1" a="1"/>
  <c r="M246" i="5" s="1"/>
  <c r="M130" i="5"/>
  <c r="N66" i="5"/>
  <c r="N91" i="5" s="1"/>
  <c r="N119" i="5" s="1"/>
  <c r="N131" i="5" s="1"/>
  <c r="N136" i="5" s="1"/>
  <c r="H90" i="5"/>
  <c r="H151" i="5" s="1"/>
  <c r="I90" i="5"/>
  <c r="I151" i="5" s="1"/>
  <c r="J34" i="5"/>
  <c r="J77" i="5" s="1"/>
  <c r="U6" i="5" l="1"/>
  <c r="AL70" i="3"/>
  <c r="I152" i="5"/>
  <c r="I174" i="5" s="1"/>
  <c r="H96" i="5"/>
  <c r="H79" i="5"/>
  <c r="I79" i="5"/>
  <c r="K156" i="3"/>
  <c r="H95" i="5"/>
  <c r="U54" i="5"/>
  <c r="T62" i="5"/>
  <c r="U55" i="5"/>
  <c r="T63" i="5"/>
  <c r="K204" i="3"/>
  <c r="K200" i="3"/>
  <c r="M103" i="5"/>
  <c r="M265" i="5"/>
  <c r="N212" i="5"/>
  <c r="N238" i="5" s="1"/>
  <c r="N236" i="5" s="1" a="1"/>
  <c r="N236" i="5" s="1"/>
  <c r="N209" i="5"/>
  <c r="H118" i="5"/>
  <c r="H129" i="5" s="1"/>
  <c r="H135" i="5" s="1"/>
  <c r="H152" i="5"/>
  <c r="H174" i="5" s="1"/>
  <c r="N130" i="5"/>
  <c r="O66" i="5"/>
  <c r="O91" i="5" s="1"/>
  <c r="O119" i="5" s="1"/>
  <c r="O131" i="5" s="1"/>
  <c r="O136" i="5" s="1"/>
  <c r="H92" i="5"/>
  <c r="H93" i="5" s="1"/>
  <c r="H22" i="3" s="1"/>
  <c r="I92" i="5"/>
  <c r="I93" i="5" s="1"/>
  <c r="I118" i="5"/>
  <c r="I129" i="5" s="1"/>
  <c r="I135" i="5" s="1"/>
  <c r="I137" i="5" s="1"/>
  <c r="J73" i="5"/>
  <c r="J96" i="5"/>
  <c r="J90" i="5"/>
  <c r="J151" i="5" s="1"/>
  <c r="K34" i="5"/>
  <c r="K77" i="5" s="1"/>
  <c r="H137" i="5" l="1"/>
  <c r="H140" i="5" s="1"/>
  <c r="V6" i="5"/>
  <c r="AM70" i="3"/>
  <c r="J152" i="5"/>
  <c r="J174" i="5" s="1"/>
  <c r="J74" i="5"/>
  <c r="J79" i="5" s="1"/>
  <c r="H97" i="5"/>
  <c r="V55" i="5"/>
  <c r="U63" i="5"/>
  <c r="V54" i="5"/>
  <c r="U62" i="5"/>
  <c r="O207" i="5"/>
  <c r="N248" i="5"/>
  <c r="N246" i="5" s="1" a="1"/>
  <c r="N246" i="5" s="1"/>
  <c r="O130" i="5"/>
  <c r="P66" i="5"/>
  <c r="P91" i="5" s="1"/>
  <c r="P119" i="5" s="1"/>
  <c r="P130" i="5" s="1"/>
  <c r="I97" i="5"/>
  <c r="J92" i="5"/>
  <c r="J118" i="5"/>
  <c r="J129" i="5" s="1"/>
  <c r="J135" i="5" s="1"/>
  <c r="J137" i="5" s="1"/>
  <c r="J140" i="5" s="1"/>
  <c r="J175" i="5" s="1"/>
  <c r="K73" i="5"/>
  <c r="K96" i="5"/>
  <c r="K90" i="5"/>
  <c r="K151" i="5" s="1"/>
  <c r="L34" i="5"/>
  <c r="L77" i="5" s="1"/>
  <c r="AA72" i="3" l="1"/>
  <c r="AA75" i="3" s="1"/>
  <c r="Z72" i="3"/>
  <c r="Z75" i="3" s="1"/>
  <c r="H175" i="5"/>
  <c r="I140" i="5"/>
  <c r="I175" i="5" s="1"/>
  <c r="W6" i="5"/>
  <c r="AN70" i="3"/>
  <c r="K152" i="5"/>
  <c r="K174" i="5" s="1"/>
  <c r="H172" i="5"/>
  <c r="H101" i="5"/>
  <c r="H104" i="5" s="1"/>
  <c r="H106" i="5" s="1"/>
  <c r="H98" i="5"/>
  <c r="I22" i="3" s="1"/>
  <c r="K74" i="5"/>
  <c r="K79" i="5" s="1"/>
  <c r="J95" i="5"/>
  <c r="J97" i="5" s="1"/>
  <c r="W54" i="5"/>
  <c r="V62" i="5"/>
  <c r="W55" i="5"/>
  <c r="V63" i="5"/>
  <c r="I98" i="5"/>
  <c r="N103" i="5"/>
  <c r="N265" i="5"/>
  <c r="O209" i="5"/>
  <c r="O212" i="5"/>
  <c r="O238" i="5" s="1"/>
  <c r="O236" i="5" s="1" a="1"/>
  <c r="O236" i="5" s="1"/>
  <c r="P131" i="5"/>
  <c r="P136" i="5" s="1"/>
  <c r="Q66" i="5"/>
  <c r="Q91" i="5" s="1"/>
  <c r="Q119" i="5" s="1"/>
  <c r="Q131" i="5" s="1"/>
  <c r="Q136" i="5" s="1"/>
  <c r="I172" i="5"/>
  <c r="J93" i="5"/>
  <c r="K92" i="5"/>
  <c r="K93" i="5" s="1"/>
  <c r="K118" i="5"/>
  <c r="K129" i="5" s="1"/>
  <c r="K135" i="5" s="1"/>
  <c r="K137" i="5" s="1"/>
  <c r="L73" i="5"/>
  <c r="L96" i="5"/>
  <c r="I101" i="5"/>
  <c r="I173" i="5" s="1"/>
  <c r="L90" i="5"/>
  <c r="L151" i="5" s="1"/>
  <c r="M34" i="5"/>
  <c r="M77" i="5" s="1"/>
  <c r="AB72" i="3" l="1"/>
  <c r="AB75" i="3" s="1"/>
  <c r="X6" i="5"/>
  <c r="AO70" i="3"/>
  <c r="L152" i="5"/>
  <c r="L174" i="5" s="1"/>
  <c r="H173" i="5"/>
  <c r="H277" i="5" s="1"/>
  <c r="H264" i="5" s="1"/>
  <c r="J98" i="5"/>
  <c r="J172" i="5"/>
  <c r="L74" i="5"/>
  <c r="L79" i="5" s="1"/>
  <c r="K95" i="5"/>
  <c r="K97" i="5" s="1"/>
  <c r="X55" i="5"/>
  <c r="W63" i="5"/>
  <c r="X54" i="5"/>
  <c r="W62" i="5"/>
  <c r="I277" i="5"/>
  <c r="O248" i="5"/>
  <c r="O246" i="5" s="1" a="1"/>
  <c r="O246" i="5" s="1"/>
  <c r="P207" i="5"/>
  <c r="Q130" i="5"/>
  <c r="R66" i="5"/>
  <c r="R91" i="5" s="1"/>
  <c r="R119" i="5" s="1"/>
  <c r="R131" i="5" s="1"/>
  <c r="R136" i="5" s="1"/>
  <c r="I176" i="5"/>
  <c r="I186" i="5" s="1"/>
  <c r="H108" i="5"/>
  <c r="L92" i="5"/>
  <c r="L93" i="5" s="1"/>
  <c r="L118" i="5"/>
  <c r="L129" i="5" s="1"/>
  <c r="L135" i="5" s="1"/>
  <c r="L137" i="5" s="1"/>
  <c r="L140" i="5" s="1"/>
  <c r="I104" i="5"/>
  <c r="M73" i="5"/>
  <c r="M96" i="5"/>
  <c r="J101" i="5"/>
  <c r="J173" i="5" s="1"/>
  <c r="M90" i="5"/>
  <c r="M151" i="5" s="1"/>
  <c r="N34" i="5"/>
  <c r="N77" i="5" s="1"/>
  <c r="H259" i="5" l="1"/>
  <c r="Z76" i="3" s="1"/>
  <c r="I298" i="5"/>
  <c r="I301" i="5" s="1"/>
  <c r="I264" i="5"/>
  <c r="I259" i="5" s="1"/>
  <c r="AA76" i="3" s="1"/>
  <c r="AC72" i="3"/>
  <c r="AC75" i="3" s="1"/>
  <c r="E70" i="3" s="1"/>
  <c r="Y6" i="5"/>
  <c r="AP70" i="3"/>
  <c r="H298" i="5"/>
  <c r="H301" i="5" s="1"/>
  <c r="H176" i="5"/>
  <c r="H187" i="5" s="1"/>
  <c r="M152" i="5"/>
  <c r="M174" i="5" s="1"/>
  <c r="J176" i="5"/>
  <c r="J186" i="5" s="1"/>
  <c r="L95" i="5"/>
  <c r="L97" i="5" s="1"/>
  <c r="M74" i="5"/>
  <c r="M79" i="5" s="1"/>
  <c r="Y54" i="5"/>
  <c r="X62" i="5"/>
  <c r="Y55" i="5"/>
  <c r="X63" i="5"/>
  <c r="J277" i="5"/>
  <c r="K98" i="5"/>
  <c r="O103" i="5"/>
  <c r="O265" i="5"/>
  <c r="P212" i="5"/>
  <c r="P238" i="5" s="1"/>
  <c r="P236" i="5" s="1" a="1"/>
  <c r="P236" i="5" s="1"/>
  <c r="P209" i="5"/>
  <c r="I106" i="5"/>
  <c r="I108" i="5" s="1"/>
  <c r="R130" i="5"/>
  <c r="S66" i="5"/>
  <c r="S91" i="5" s="1"/>
  <c r="S119" i="5" s="1"/>
  <c r="S130" i="5" s="1"/>
  <c r="K172" i="5"/>
  <c r="L175" i="5"/>
  <c r="M92" i="5"/>
  <c r="M93" i="5" s="1"/>
  <c r="M118" i="5"/>
  <c r="M129" i="5" s="1"/>
  <c r="M135" i="5" s="1"/>
  <c r="M137" i="5" s="1"/>
  <c r="M140" i="5" s="1"/>
  <c r="M175" i="5" s="1"/>
  <c r="J104" i="5"/>
  <c r="N73" i="5"/>
  <c r="N96" i="5"/>
  <c r="K101" i="5"/>
  <c r="K173" i="5" s="1"/>
  <c r="N90" i="5"/>
  <c r="N151" i="5" s="1"/>
  <c r="O34" i="5"/>
  <c r="J298" i="5" l="1"/>
  <c r="J301" i="5" s="1"/>
  <c r="J264" i="5"/>
  <c r="J259" i="5" s="1"/>
  <c r="AB76" i="3" s="1"/>
  <c r="AD72" i="3"/>
  <c r="AD75" i="3" s="1"/>
  <c r="I187" i="5"/>
  <c r="J187" i="5" s="1"/>
  <c r="Z6" i="5"/>
  <c r="AQ70" i="3"/>
  <c r="H186" i="5"/>
  <c r="N152" i="5"/>
  <c r="N174" i="5" s="1"/>
  <c r="N74" i="5"/>
  <c r="N79" i="5" s="1"/>
  <c r="M95" i="5"/>
  <c r="M97" i="5" s="1"/>
  <c r="Z55" i="5"/>
  <c r="Y63" i="5"/>
  <c r="Z54" i="5"/>
  <c r="Y62" i="5"/>
  <c r="L98" i="5"/>
  <c r="P248" i="5"/>
  <c r="P246" i="5" s="1" a="1"/>
  <c r="P246" i="5" s="1"/>
  <c r="Q207" i="5"/>
  <c r="J106" i="5"/>
  <c r="J108" i="5" s="1"/>
  <c r="S131" i="5"/>
  <c r="S136" i="5" s="1"/>
  <c r="T66" i="5"/>
  <c r="T91" i="5" s="1"/>
  <c r="T119" i="5" s="1"/>
  <c r="T131" i="5" s="1"/>
  <c r="T136" i="5" s="1"/>
  <c r="L172" i="5"/>
  <c r="N92" i="5"/>
  <c r="N118" i="5"/>
  <c r="N129" i="5" s="1"/>
  <c r="N135" i="5" s="1"/>
  <c r="N137" i="5" s="1"/>
  <c r="N140" i="5" s="1"/>
  <c r="N175" i="5" s="1"/>
  <c r="K104" i="5"/>
  <c r="O73" i="5"/>
  <c r="O74" i="5" s="1"/>
  <c r="O95" i="5" s="1"/>
  <c r="O77" i="5"/>
  <c r="O96" i="5" s="1"/>
  <c r="L101" i="5"/>
  <c r="L173" i="5" s="1"/>
  <c r="O90" i="5"/>
  <c r="O151" i="5" s="1"/>
  <c r="K140" i="5"/>
  <c r="K175" i="5" s="1"/>
  <c r="K176" i="5" s="1"/>
  <c r="K186" i="5" s="1"/>
  <c r="P34" i="5"/>
  <c r="AE72" i="3" l="1"/>
  <c r="AE75" i="3" s="1"/>
  <c r="AA6" i="5"/>
  <c r="AS70" i="3" s="1"/>
  <c r="AR70" i="3"/>
  <c r="O152" i="5"/>
  <c r="O174" i="5" s="1"/>
  <c r="N95" i="5"/>
  <c r="N97" i="5" s="1"/>
  <c r="AA54" i="5"/>
  <c r="AA62" i="5" s="1"/>
  <c r="Z62" i="5"/>
  <c r="AA55" i="5"/>
  <c r="AA63" i="5" s="1"/>
  <c r="Z63" i="5"/>
  <c r="L277" i="5"/>
  <c r="K277" i="5"/>
  <c r="K264" i="5" s="1"/>
  <c r="K259" i="5" s="1"/>
  <c r="AC76" i="3" s="1"/>
  <c r="M172" i="5"/>
  <c r="P103" i="5"/>
  <c r="P265" i="5"/>
  <c r="Q212" i="5"/>
  <c r="Q238" i="5" s="1"/>
  <c r="Q236" i="5" s="1" a="1"/>
  <c r="Q236" i="5" s="1"/>
  <c r="Q209" i="5"/>
  <c r="K106" i="5"/>
  <c r="K108" i="5" s="1"/>
  <c r="K187" i="5"/>
  <c r="L176" i="5"/>
  <c r="L186" i="5" s="1"/>
  <c r="T130" i="5"/>
  <c r="U66" i="5"/>
  <c r="U91" i="5" s="1"/>
  <c r="U119" i="5" s="1"/>
  <c r="U130" i="5" s="1"/>
  <c r="M98" i="5"/>
  <c r="N93" i="5"/>
  <c r="O92" i="5"/>
  <c r="O97" i="5" s="1"/>
  <c r="O118" i="5"/>
  <c r="O129" i="5" s="1"/>
  <c r="O135" i="5" s="1"/>
  <c r="O137" i="5" s="1"/>
  <c r="L104" i="5"/>
  <c r="O79" i="5"/>
  <c r="P73" i="5"/>
  <c r="P74" i="5" s="1"/>
  <c r="P95" i="5" s="1"/>
  <c r="P77" i="5"/>
  <c r="P96" i="5" s="1"/>
  <c r="M101" i="5"/>
  <c r="M173" i="5" s="1"/>
  <c r="P90" i="5"/>
  <c r="P151" i="5" s="1"/>
  <c r="Q34" i="5"/>
  <c r="L298" i="5" l="1"/>
  <c r="L301" i="5" s="1"/>
  <c r="L264" i="5"/>
  <c r="L259" i="5" s="1"/>
  <c r="AD76" i="3" s="1"/>
  <c r="AF72" i="3"/>
  <c r="AF75" i="3" s="1"/>
  <c r="K298" i="5"/>
  <c r="K301" i="5" s="1"/>
  <c r="AG72" i="3"/>
  <c r="AG75" i="3" s="1"/>
  <c r="P152" i="5"/>
  <c r="P174" i="5" s="1"/>
  <c r="N98" i="5"/>
  <c r="N172" i="5"/>
  <c r="M176" i="5"/>
  <c r="M186" i="5" s="1"/>
  <c r="M277" i="5"/>
  <c r="Q248" i="5"/>
  <c r="Q246" i="5" s="1" a="1"/>
  <c r="Q246" i="5" s="1"/>
  <c r="R207" i="5"/>
  <c r="L106" i="5"/>
  <c r="L108" i="5" s="1"/>
  <c r="L187" i="5"/>
  <c r="U131" i="5"/>
  <c r="U136" i="5" s="1"/>
  <c r="V66" i="5"/>
  <c r="V91" i="5" s="1"/>
  <c r="V119" i="5" s="1"/>
  <c r="V131" i="5" s="1"/>
  <c r="V136" i="5" s="1"/>
  <c r="O93" i="5"/>
  <c r="O140" i="5"/>
  <c r="O175" i="5" s="1"/>
  <c r="P92" i="5"/>
  <c r="P97" i="5" s="1"/>
  <c r="P118" i="5"/>
  <c r="P129" i="5" s="1"/>
  <c r="P135" i="5" s="1"/>
  <c r="P137" i="5" s="1"/>
  <c r="M104" i="5"/>
  <c r="O98" i="5"/>
  <c r="O172" i="5"/>
  <c r="P79" i="5"/>
  <c r="Q73" i="5"/>
  <c r="Q74" i="5" s="1"/>
  <c r="Q95" i="5" s="1"/>
  <c r="Q77" i="5"/>
  <c r="Q96" i="5" s="1"/>
  <c r="O101" i="5"/>
  <c r="O173" i="5" s="1"/>
  <c r="N101" i="5"/>
  <c r="N173" i="5" s="1"/>
  <c r="Q90" i="5"/>
  <c r="Q151" i="5" s="1"/>
  <c r="R34" i="5"/>
  <c r="M298" i="5" l="1"/>
  <c r="M301" i="5" s="1"/>
  <c r="M264" i="5"/>
  <c r="M259" i="5" s="1"/>
  <c r="AE76" i="3" s="1"/>
  <c r="AH72" i="3"/>
  <c r="AH75" i="3" s="1"/>
  <c r="Q152" i="5"/>
  <c r="Q174" i="5" s="1"/>
  <c r="N176" i="5"/>
  <c r="N186" i="5" s="1"/>
  <c r="M187" i="5"/>
  <c r="O277" i="5"/>
  <c r="N277" i="5"/>
  <c r="Q103" i="5"/>
  <c r="Q265" i="5"/>
  <c r="R212" i="5"/>
  <c r="R238" i="5" s="1"/>
  <c r="R236" i="5" s="1" a="1"/>
  <c r="R236" i="5" s="1"/>
  <c r="R209" i="5"/>
  <c r="M106" i="5"/>
  <c r="M108" i="5" s="1"/>
  <c r="V130" i="5"/>
  <c r="W66" i="5"/>
  <c r="W91" i="5" s="1"/>
  <c r="W119" i="5" s="1"/>
  <c r="W131" i="5" s="1"/>
  <c r="W136" i="5" s="1"/>
  <c r="O176" i="5"/>
  <c r="O186" i="5" s="1"/>
  <c r="P93" i="5"/>
  <c r="P140" i="5"/>
  <c r="P175" i="5" s="1"/>
  <c r="Q92" i="5"/>
  <c r="Q97" i="5" s="1"/>
  <c r="Q118" i="5"/>
  <c r="Q129" i="5" s="1"/>
  <c r="Q135" i="5" s="1"/>
  <c r="Q137" i="5" s="1"/>
  <c r="Q140" i="5" s="1"/>
  <c r="Q175" i="5" s="1"/>
  <c r="N104" i="5"/>
  <c r="O104" i="5"/>
  <c r="P98" i="5"/>
  <c r="P172" i="5"/>
  <c r="Q79" i="5"/>
  <c r="R73" i="5"/>
  <c r="R74" i="5" s="1"/>
  <c r="R95" i="5" s="1"/>
  <c r="R77" i="5"/>
  <c r="R96" i="5" s="1"/>
  <c r="P101" i="5"/>
  <c r="P173" i="5" s="1"/>
  <c r="R90" i="5"/>
  <c r="R151" i="5" s="1"/>
  <c r="S34" i="5"/>
  <c r="N298" i="5" l="1"/>
  <c r="N301" i="5" s="1"/>
  <c r="N264" i="5"/>
  <c r="N259" i="5" s="1"/>
  <c r="AF76" i="3" s="1"/>
  <c r="O298" i="5"/>
  <c r="O301" i="5" s="1"/>
  <c r="O264" i="5"/>
  <c r="O259" i="5" s="1"/>
  <c r="AG76" i="3" s="1"/>
  <c r="AI72" i="3"/>
  <c r="AI75" i="3" s="1"/>
  <c r="R152" i="5"/>
  <c r="R174" i="5" s="1"/>
  <c r="N187" i="5"/>
  <c r="O187" i="5" s="1"/>
  <c r="P277" i="5"/>
  <c r="R248" i="5"/>
  <c r="R246" i="5" s="1" a="1"/>
  <c r="R246" i="5" s="1"/>
  <c r="S207" i="5"/>
  <c r="O106" i="5"/>
  <c r="O108" i="5" s="1"/>
  <c r="N106" i="5"/>
  <c r="N108" i="5" s="1"/>
  <c r="X66" i="5"/>
  <c r="X91" i="5" s="1"/>
  <c r="X119" i="5" s="1"/>
  <c r="X130" i="5" s="1"/>
  <c r="W130" i="5"/>
  <c r="P176" i="5"/>
  <c r="P186" i="5" s="1"/>
  <c r="Q93" i="5"/>
  <c r="R92" i="5"/>
  <c r="R93" i="5" s="1"/>
  <c r="R118" i="5"/>
  <c r="R129" i="5" s="1"/>
  <c r="R135" i="5" s="1"/>
  <c r="R137" i="5" s="1"/>
  <c r="R140" i="5" s="1"/>
  <c r="R175" i="5" s="1"/>
  <c r="P104" i="5"/>
  <c r="Q98" i="5"/>
  <c r="Q172" i="5"/>
  <c r="R79" i="5"/>
  <c r="S73" i="5"/>
  <c r="S74" i="5" s="1"/>
  <c r="S95" i="5" s="1"/>
  <c r="S77" i="5"/>
  <c r="S96" i="5" s="1"/>
  <c r="S90" i="5"/>
  <c r="S151" i="5" s="1"/>
  <c r="T34" i="5"/>
  <c r="P298" i="5" l="1"/>
  <c r="P301" i="5" s="1"/>
  <c r="P264" i="5"/>
  <c r="P259" i="5" s="1"/>
  <c r="AH76" i="3" s="1"/>
  <c r="S152" i="5"/>
  <c r="S174" i="5" s="1"/>
  <c r="R103" i="5"/>
  <c r="R265" i="5"/>
  <c r="S209" i="5"/>
  <c r="S212" i="5"/>
  <c r="S238" i="5" s="1"/>
  <c r="S236" i="5" s="1" a="1"/>
  <c r="S236" i="5" s="1"/>
  <c r="P106" i="5"/>
  <c r="P108" i="5" s="1"/>
  <c r="X131" i="5"/>
  <c r="X136" i="5" s="1"/>
  <c r="P187" i="5"/>
  <c r="Y66" i="5"/>
  <c r="Y91" i="5" s="1"/>
  <c r="Y119" i="5" s="1"/>
  <c r="Y130" i="5" s="1"/>
  <c r="R97" i="5"/>
  <c r="S92" i="5"/>
  <c r="S93" i="5" s="1"/>
  <c r="S118" i="5"/>
  <c r="S129" i="5" s="1"/>
  <c r="S135" i="5" s="1"/>
  <c r="S137" i="5" s="1"/>
  <c r="S79" i="5"/>
  <c r="T73" i="5"/>
  <c r="T74" i="5" s="1"/>
  <c r="T95" i="5" s="1"/>
  <c r="T77" i="5"/>
  <c r="T96" i="5" s="1"/>
  <c r="Q101" i="5"/>
  <c r="Q173" i="5" s="1"/>
  <c r="Q176" i="5" s="1"/>
  <c r="Q186" i="5" s="1"/>
  <c r="T90" i="5"/>
  <c r="T151" i="5" s="1"/>
  <c r="U34" i="5"/>
  <c r="AJ72" i="3" l="1"/>
  <c r="AJ75" i="3" s="1"/>
  <c r="T152" i="5"/>
  <c r="T174" i="5" s="1"/>
  <c r="Q277" i="5"/>
  <c r="R172" i="5"/>
  <c r="S248" i="5"/>
  <c r="S246" i="5" s="1" a="1"/>
  <c r="S246" i="5" s="1"/>
  <c r="T207" i="5"/>
  <c r="Q187" i="5"/>
  <c r="Y131" i="5"/>
  <c r="Y136" i="5" s="1"/>
  <c r="Z66" i="5"/>
  <c r="Z91" i="5" s="1"/>
  <c r="Z119" i="5" s="1"/>
  <c r="Z130" i="5" s="1"/>
  <c r="R98" i="5"/>
  <c r="S140" i="5"/>
  <c r="S175" i="5" s="1"/>
  <c r="S97" i="5"/>
  <c r="T92" i="5"/>
  <c r="T97" i="5" s="1"/>
  <c r="T118" i="5"/>
  <c r="T129" i="5" s="1"/>
  <c r="T135" i="5" s="1"/>
  <c r="T137" i="5" s="1"/>
  <c r="T140" i="5" s="1"/>
  <c r="T175" i="5" s="1"/>
  <c r="Q104" i="5"/>
  <c r="T79" i="5"/>
  <c r="U73" i="5"/>
  <c r="U74" i="5" s="1"/>
  <c r="U95" i="5" s="1"/>
  <c r="U77" i="5"/>
  <c r="U96" i="5" s="1"/>
  <c r="R101" i="5"/>
  <c r="R173" i="5" s="1"/>
  <c r="U90" i="5"/>
  <c r="U151" i="5" s="1"/>
  <c r="V34" i="5"/>
  <c r="Q298" i="5" l="1"/>
  <c r="Q301" i="5" s="1"/>
  <c r="Q264" i="5"/>
  <c r="Q259" i="5" s="1"/>
  <c r="AI76" i="3" s="1"/>
  <c r="AK72" i="3"/>
  <c r="AK75" i="3" s="1"/>
  <c r="AL72" i="3"/>
  <c r="AL75" i="3" s="1"/>
  <c r="U152" i="5"/>
  <c r="U174" i="5" s="1"/>
  <c r="R176" i="5"/>
  <c r="R186" i="5" s="1"/>
  <c r="R277" i="5"/>
  <c r="S172" i="5"/>
  <c r="S103" i="5"/>
  <c r="S265" i="5"/>
  <c r="T212" i="5"/>
  <c r="T238" i="5" s="1"/>
  <c r="T236" i="5" s="1" a="1"/>
  <c r="T236" i="5" s="1"/>
  <c r="T209" i="5"/>
  <c r="Q106" i="5"/>
  <c r="Q108" i="5" s="1"/>
  <c r="Z131" i="5"/>
  <c r="Z136" i="5" s="1"/>
  <c r="AA66" i="5"/>
  <c r="AA91" i="5" s="1"/>
  <c r="AA119" i="5" s="1"/>
  <c r="AA130" i="5" s="1"/>
  <c r="T93" i="5"/>
  <c r="S98" i="5"/>
  <c r="U92" i="5"/>
  <c r="U97" i="5" s="1"/>
  <c r="U118" i="5"/>
  <c r="U129" i="5" s="1"/>
  <c r="U135" i="5" s="1"/>
  <c r="U137" i="5" s="1"/>
  <c r="R104" i="5"/>
  <c r="T98" i="5"/>
  <c r="T172" i="5"/>
  <c r="U79" i="5"/>
  <c r="V73" i="5"/>
  <c r="V74" i="5" s="1"/>
  <c r="V95" i="5" s="1"/>
  <c r="V77" i="5"/>
  <c r="V96" i="5" s="1"/>
  <c r="T101" i="5"/>
  <c r="T173" i="5" s="1"/>
  <c r="S101" i="5"/>
  <c r="S173" i="5" s="1"/>
  <c r="V90" i="5"/>
  <c r="V151" i="5" s="1"/>
  <c r="W34" i="5"/>
  <c r="R298" i="5" l="1"/>
  <c r="R301" i="5" s="1"/>
  <c r="R264" i="5"/>
  <c r="R259" i="5" s="1"/>
  <c r="AJ76" i="3" s="1"/>
  <c r="AM72" i="3"/>
  <c r="AM75" i="3" s="1"/>
  <c r="V152" i="5"/>
  <c r="V174" i="5" s="1"/>
  <c r="T277" i="5"/>
  <c r="T264" i="5" s="1"/>
  <c r="S176" i="5"/>
  <c r="S186" i="5" s="1"/>
  <c r="R187" i="5"/>
  <c r="S277" i="5"/>
  <c r="T248" i="5"/>
  <c r="T246" i="5" s="1" a="1"/>
  <c r="T246" i="5" s="1"/>
  <c r="U207" i="5"/>
  <c r="R106" i="5"/>
  <c r="R108" i="5" s="1"/>
  <c r="AA131" i="5"/>
  <c r="AA136" i="5" s="1"/>
  <c r="T176" i="5"/>
  <c r="T186" i="5" s="1"/>
  <c r="Y34" i="5"/>
  <c r="Y90" i="5" s="1"/>
  <c r="Y151" i="5" s="1"/>
  <c r="U93" i="5"/>
  <c r="Z34" i="5"/>
  <c r="Z90" i="5" s="1"/>
  <c r="Z151" i="5" s="1"/>
  <c r="U140" i="5"/>
  <c r="U175" i="5" s="1"/>
  <c r="V92" i="5"/>
  <c r="V97" i="5" s="1"/>
  <c r="V118" i="5"/>
  <c r="V129" i="5" s="1"/>
  <c r="V135" i="5" s="1"/>
  <c r="V137" i="5" s="1"/>
  <c r="S104" i="5"/>
  <c r="U98" i="5"/>
  <c r="U172" i="5"/>
  <c r="V79" i="5"/>
  <c r="W73" i="5"/>
  <c r="W74" i="5" s="1"/>
  <c r="W95" i="5" s="1"/>
  <c r="W77" i="5"/>
  <c r="W96" i="5" s="1"/>
  <c r="W90" i="5"/>
  <c r="W151" i="5" s="1"/>
  <c r="X34" i="5"/>
  <c r="S298" i="5" l="1"/>
  <c r="S301" i="5" s="1"/>
  <c r="S264" i="5"/>
  <c r="S259" i="5" s="1"/>
  <c r="AK76" i="3" s="1"/>
  <c r="AN72" i="3"/>
  <c r="AN75" i="3" s="1"/>
  <c r="Z152" i="5"/>
  <c r="Z174" i="5" s="1"/>
  <c r="Y152" i="5"/>
  <c r="Y174" i="5" s="1"/>
  <c r="W152" i="5"/>
  <c r="W174" i="5" s="1"/>
  <c r="S187" i="5"/>
  <c r="T187" i="5" s="1"/>
  <c r="T103" i="5"/>
  <c r="T104" i="5" s="1"/>
  <c r="T106" i="5" s="1"/>
  <c r="T108" i="5" s="1"/>
  <c r="T265" i="5"/>
  <c r="T259" i="5" s="1"/>
  <c r="AL76" i="3" s="1"/>
  <c r="U212" i="5"/>
  <c r="U238" i="5" s="1"/>
  <c r="U236" i="5" s="1" a="1"/>
  <c r="U236" i="5" s="1"/>
  <c r="U209" i="5"/>
  <c r="S106" i="5"/>
  <c r="S108" i="5" s="1"/>
  <c r="Z92" i="5"/>
  <c r="Z93" i="5" s="1"/>
  <c r="Z118" i="5"/>
  <c r="Z129" i="5" s="1"/>
  <c r="Z135" i="5" s="1"/>
  <c r="Z137" i="5" s="1"/>
  <c r="Y118" i="5"/>
  <c r="Y129" i="5" s="1"/>
  <c r="Y135" i="5" s="1"/>
  <c r="Y137" i="5" s="1"/>
  <c r="Y92" i="5"/>
  <c r="Y93" i="5" s="1"/>
  <c r="X77" i="5"/>
  <c r="X96" i="5" s="1"/>
  <c r="X90" i="5"/>
  <c r="X151" i="5" s="1"/>
  <c r="Z73" i="5"/>
  <c r="Z74" i="5" s="1"/>
  <c r="Z95" i="5" s="1"/>
  <c r="Z77" i="5"/>
  <c r="Z96" i="5" s="1"/>
  <c r="Y73" i="5"/>
  <c r="Y74" i="5" s="1"/>
  <c r="Y95" i="5" s="1"/>
  <c r="Y77" i="5"/>
  <c r="Y96" i="5" s="1"/>
  <c r="V93" i="5"/>
  <c r="V140" i="5"/>
  <c r="V175" i="5" s="1"/>
  <c r="W92" i="5"/>
  <c r="W97" i="5" s="1"/>
  <c r="W118" i="5"/>
  <c r="W129" i="5" s="1"/>
  <c r="W135" i="5" s="1"/>
  <c r="W137" i="5" s="1"/>
  <c r="V98" i="5"/>
  <c r="V172" i="5"/>
  <c r="W79" i="5"/>
  <c r="X73" i="5"/>
  <c r="X74" i="5" s="1"/>
  <c r="X95" i="5" s="1"/>
  <c r="U101" i="5"/>
  <c r="U173" i="5" s="1"/>
  <c r="U176" i="5" s="1"/>
  <c r="U186" i="5" s="1"/>
  <c r="AO72" i="3" l="1"/>
  <c r="AO75" i="3" s="1"/>
  <c r="X152" i="5"/>
  <c r="X174" i="5" s="1"/>
  <c r="T298" i="5"/>
  <c r="T301" i="5" s="1"/>
  <c r="U277" i="5"/>
  <c r="U264" i="5" s="1"/>
  <c r="U248" i="5"/>
  <c r="U246" i="5" s="1" a="1"/>
  <c r="U246" i="5" s="1"/>
  <c r="V207" i="5"/>
  <c r="U187" i="5"/>
  <c r="Z140" i="5"/>
  <c r="Z175" i="5" s="1"/>
  <c r="Z97" i="5"/>
  <c r="Y97" i="5"/>
  <c r="Y79" i="5"/>
  <c r="Z79" i="5"/>
  <c r="AA34" i="5"/>
  <c r="AA90" i="5" s="1"/>
  <c r="AA151" i="5" s="1"/>
  <c r="W93" i="5"/>
  <c r="W140" i="5"/>
  <c r="W175" i="5" s="1"/>
  <c r="X92" i="5"/>
  <c r="X93" i="5" s="1"/>
  <c r="X118" i="5"/>
  <c r="X129" i="5" s="1"/>
  <c r="X135" i="5" s="1"/>
  <c r="X137" i="5" s="1"/>
  <c r="Y140" i="5" s="1"/>
  <c r="Y175" i="5" s="1"/>
  <c r="W98" i="5"/>
  <c r="W172" i="5"/>
  <c r="X79" i="5"/>
  <c r="V101" i="5"/>
  <c r="V173" i="5" s="1"/>
  <c r="V176" i="5" s="1"/>
  <c r="V186" i="5" s="1"/>
  <c r="AQ72" i="3" l="1"/>
  <c r="AQ75" i="3" s="1"/>
  <c r="AR72" i="3"/>
  <c r="AR75" i="3" s="1"/>
  <c r="AA152" i="5"/>
  <c r="AA174" i="5" s="1"/>
  <c r="V277" i="5"/>
  <c r="V264" i="5" s="1"/>
  <c r="Y101" i="5"/>
  <c r="Y173" i="5" s="1"/>
  <c r="Z101" i="5"/>
  <c r="Z173" i="5" s="1"/>
  <c r="U103" i="5"/>
  <c r="U104" i="5" s="1"/>
  <c r="U106" i="5" s="1"/>
  <c r="U108" i="5" s="1"/>
  <c r="U265" i="5"/>
  <c r="U259" i="5" s="1"/>
  <c r="AM76" i="3" s="1"/>
  <c r="V209" i="5"/>
  <c r="V212" i="5"/>
  <c r="V238" i="5" s="1"/>
  <c r="V236" i="5" s="1" a="1"/>
  <c r="V236" i="5" s="1"/>
  <c r="V187" i="5"/>
  <c r="Z172" i="5"/>
  <c r="Z98" i="5"/>
  <c r="Y98" i="5"/>
  <c r="Y172" i="5"/>
  <c r="AA92" i="5"/>
  <c r="AA93" i="5" s="1"/>
  <c r="AA118" i="5"/>
  <c r="AA129" i="5" s="1"/>
  <c r="AA135" i="5" s="1"/>
  <c r="AA137" i="5" s="1"/>
  <c r="AA73" i="5"/>
  <c r="AA74" i="5" s="1"/>
  <c r="AA95" i="5" s="1"/>
  <c r="AA77" i="5"/>
  <c r="AA96" i="5" s="1"/>
  <c r="X97" i="5"/>
  <c r="X140" i="5"/>
  <c r="X175" i="5" s="1"/>
  <c r="W101" i="5"/>
  <c r="W173" i="5" s="1"/>
  <c r="W176" i="5" s="1"/>
  <c r="W186" i="5" s="1"/>
  <c r="AP72" i="3" l="1"/>
  <c r="AP75" i="3" s="1"/>
  <c r="U298" i="5"/>
  <c r="U301" i="5" s="1"/>
  <c r="Z277" i="5"/>
  <c r="Z264" i="5" s="1"/>
  <c r="Y176" i="5"/>
  <c r="Y186" i="5" s="1"/>
  <c r="Y277" i="5"/>
  <c r="Y264" i="5" s="1"/>
  <c r="W277" i="5"/>
  <c r="W264" i="5" s="1"/>
  <c r="Z176" i="5"/>
  <c r="Z186" i="5" s="1"/>
  <c r="X98" i="5"/>
  <c r="V248" i="5"/>
  <c r="V246" i="5" s="1" a="1"/>
  <c r="V246" i="5" s="1"/>
  <c r="W207" i="5"/>
  <c r="W187" i="5"/>
  <c r="AA97" i="5"/>
  <c r="AA140" i="5"/>
  <c r="AA175" i="5" s="1"/>
  <c r="AA79" i="5"/>
  <c r="X172" i="5"/>
  <c r="AS72" i="3" l="1"/>
  <c r="AA101" i="5"/>
  <c r="AA173" i="5" s="1"/>
  <c r="V103" i="5"/>
  <c r="V104" i="5" s="1"/>
  <c r="V106" i="5" s="1"/>
  <c r="V108" i="5" s="1"/>
  <c r="V265" i="5"/>
  <c r="W209" i="5"/>
  <c r="W212" i="5"/>
  <c r="W238" i="5" s="1"/>
  <c r="W236" i="5" s="1" a="1"/>
  <c r="W236" i="5" s="1"/>
  <c r="AA98" i="5"/>
  <c r="AA172" i="5"/>
  <c r="X101" i="5"/>
  <c r="X173" i="5" s="1"/>
  <c r="X176" i="5" s="1"/>
  <c r="X186" i="5" s="1"/>
  <c r="V259" i="5" l="1"/>
  <c r="AN76" i="3" s="1"/>
  <c r="V298" i="5"/>
  <c r="V301" i="5" s="1"/>
  <c r="AA277" i="5"/>
  <c r="AA264" i="5" s="1"/>
  <c r="X277" i="5"/>
  <c r="AA176" i="5"/>
  <c r="AA186" i="5" s="1"/>
  <c r="W248" i="5"/>
  <c r="W246" i="5" s="1" a="1"/>
  <c r="W246" i="5" s="1"/>
  <c r="X207" i="5"/>
  <c r="X187" i="5"/>
  <c r="Y187" i="5" s="1"/>
  <c r="Z187" i="5" s="1"/>
  <c r="H284" i="5" l="1"/>
  <c r="H286" i="5" s="1"/>
  <c r="H282" i="5" s="1"/>
  <c r="X264" i="5"/>
  <c r="D103" i="3"/>
  <c r="D102" i="3"/>
  <c r="D99" i="3"/>
  <c r="D101" i="3"/>
  <c r="D100" i="3"/>
  <c r="F193" i="5"/>
  <c r="F22" i="3" s="1"/>
  <c r="F191" i="5"/>
  <c r="E39" i="3" s="1"/>
  <c r="H278" i="5"/>
  <c r="H275" i="5" s="1"/>
  <c r="AA187" i="5"/>
  <c r="W103" i="5"/>
  <c r="W104" i="5" s="1"/>
  <c r="W106" i="5" s="1"/>
  <c r="W108" i="5" s="1"/>
  <c r="W265" i="5"/>
  <c r="X212" i="5"/>
  <c r="X238" i="5" s="1"/>
  <c r="X236" i="5" s="1" a="1"/>
  <c r="X236" i="5" s="1"/>
  <c r="X209" i="5"/>
  <c r="C155" i="3"/>
  <c r="F145" i="3"/>
  <c r="H269" i="5" l="1"/>
  <c r="F195" i="5"/>
  <c r="G22" i="3" s="1"/>
  <c r="E22" i="3"/>
  <c r="W259" i="5"/>
  <c r="AO76" i="3" s="1"/>
  <c r="W298" i="5"/>
  <c r="W301" i="5" s="1"/>
  <c r="H270" i="5"/>
  <c r="X248" i="5"/>
  <c r="X246" i="5" s="1" a="1"/>
  <c r="X246" i="5" s="1"/>
  <c r="Y207" i="5"/>
  <c r="C199" i="3"/>
  <c r="F189" i="3"/>
  <c r="H267" i="5" l="1" a="1"/>
  <c r="H267" i="5" s="1"/>
  <c r="L22" i="3" s="1"/>
  <c r="X103" i="5"/>
  <c r="X104" i="5" s="1"/>
  <c r="X106" i="5" s="1"/>
  <c r="X108" i="5" s="1"/>
  <c r="X265" i="5"/>
  <c r="Y212" i="5"/>
  <c r="Y238" i="5" s="1"/>
  <c r="Y236" i="5" s="1" a="1"/>
  <c r="Y236" i="5" s="1"/>
  <c r="Y209" i="5"/>
  <c r="X259" i="5" l="1"/>
  <c r="AP76" i="3" s="1"/>
  <c r="X298" i="5"/>
  <c r="X301" i="5" s="1"/>
  <c r="Y248" i="5"/>
  <c r="Y246" i="5" s="1" a="1"/>
  <c r="Y246" i="5" s="1"/>
  <c r="Z207" i="5"/>
  <c r="Y103" i="5" l="1"/>
  <c r="Y104" i="5" s="1"/>
  <c r="Y106" i="5" s="1"/>
  <c r="Y108" i="5" s="1"/>
  <c r="Y265" i="5"/>
  <c r="Z212" i="5"/>
  <c r="Z238" i="5" s="1"/>
  <c r="Z236" i="5" s="1" a="1"/>
  <c r="Z236" i="5" s="1"/>
  <c r="Z209" i="5"/>
  <c r="Y259" i="5" l="1"/>
  <c r="AQ76" i="3" s="1"/>
  <c r="Y298" i="5"/>
  <c r="Y301" i="5" s="1"/>
  <c r="Z248" i="5"/>
  <c r="Z246" i="5" s="1" a="1"/>
  <c r="Z246" i="5" s="1"/>
  <c r="AA207" i="5"/>
  <c r="Z103" i="5" l="1"/>
  <c r="Z104" i="5" s="1"/>
  <c r="Z106" i="5" s="1"/>
  <c r="Z108" i="5" s="1"/>
  <c r="Z265" i="5"/>
  <c r="AA212" i="5"/>
  <c r="AA238" i="5" s="1"/>
  <c r="AA236" i="5" s="1" a="1"/>
  <c r="AA236" i="5" s="1"/>
  <c r="AA209" i="5"/>
  <c r="AA248" i="5" s="1"/>
  <c r="AA246" i="5" s="1" a="1"/>
  <c r="AA246" i="5" s="1"/>
  <c r="Z259" i="5" l="1"/>
  <c r="AR76" i="3" s="1"/>
  <c r="Z298" i="5"/>
  <c r="Z301" i="5" s="1"/>
  <c r="AA103" i="5" l="1"/>
  <c r="AA104" i="5" s="1"/>
  <c r="AA106" i="5" s="1"/>
  <c r="AA108" i="5" s="1"/>
  <c r="AA265" i="5"/>
  <c r="AA259" i="5" l="1"/>
  <c r="AA298" i="5"/>
  <c r="H261" i="5" l="1"/>
  <c r="K22" i="3" s="1"/>
  <c r="AS76" i="3"/>
  <c r="H262" i="5"/>
  <c r="AA301" i="5"/>
  <c r="F305" i="5" s="1"/>
  <c r="I39" i="3" l="1"/>
  <c r="G39" i="3"/>
  <c r="J2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<sst xmlns="http://schemas.openxmlformats.org/spreadsheetml/2006/main" count="571" uniqueCount="343">
  <si>
    <t xml:space="preserve"> </t>
  </si>
  <si>
    <t>Model</t>
  </si>
  <si>
    <t>Inputs</t>
  </si>
  <si>
    <t>Outputs</t>
  </si>
  <si>
    <t>Table of Contents</t>
  </si>
  <si>
    <t xml:space="preserve">These tables require the workbook calculation to be set to automatic to update. </t>
  </si>
  <si>
    <t>WACC</t>
  </si>
  <si>
    <t>Terminal Multiple</t>
  </si>
  <si>
    <t>Premium (Discount) to Stock Price</t>
  </si>
  <si>
    <t>Equity Value</t>
  </si>
  <si>
    <t>Equity Value per Share</t>
  </si>
  <si>
    <r>
      <t xml:space="preserve">Enterprise Value </t>
    </r>
    <r>
      <rPr>
        <b/>
        <vertAlign val="superscript"/>
        <sz val="10"/>
        <color theme="1"/>
        <rFont val="Open Sans"/>
        <family val="2"/>
      </rPr>
      <t>1</t>
    </r>
  </si>
  <si>
    <t>(US$/sh)</t>
  </si>
  <si>
    <t>Current Stock Price</t>
  </si>
  <si>
    <t>(FD 000)</t>
  </si>
  <si>
    <t>Shares Outstanding</t>
  </si>
  <si>
    <t>Net Debt</t>
  </si>
  <si>
    <t>Per Share</t>
  </si>
  <si>
    <t>Value</t>
  </si>
  <si>
    <t>Equity</t>
  </si>
  <si>
    <t>Enterprise</t>
  </si>
  <si>
    <t>Selected Inputs</t>
  </si>
  <si>
    <r>
      <t xml:space="preserve">Main Outputs </t>
    </r>
    <r>
      <rPr>
        <b/>
        <vertAlign val="superscript"/>
        <sz val="10"/>
        <color theme="1"/>
        <rFont val="Open Sans"/>
        <family val="2"/>
      </rPr>
      <t>1</t>
    </r>
  </si>
  <si>
    <t>All figures in USD thousands unless stated</t>
  </si>
  <si>
    <t>Model Drivers Set To</t>
  </si>
  <si>
    <t>Dashboard: Multiple Method</t>
  </si>
  <si>
    <t>Terminal Growth Rate</t>
  </si>
  <si>
    <t>Worst Case</t>
  </si>
  <si>
    <t>Base Case</t>
  </si>
  <si>
    <t>Best Case</t>
  </si>
  <si>
    <t>Days in Period</t>
  </si>
  <si>
    <t>Weighted Average Cost of Capital</t>
  </si>
  <si>
    <t xml:space="preserve">Levered Beta = Unlevered Beta x (1 + (1 - Tax rate) x (Debt-to-Equity)) </t>
  </si>
  <si>
    <t>Equity Capital</t>
  </si>
  <si>
    <t>Debt Capital</t>
  </si>
  <si>
    <t>Cost</t>
  </si>
  <si>
    <t>Weight</t>
  </si>
  <si>
    <t>Debt / Equity</t>
  </si>
  <si>
    <t>Total Capitalization</t>
  </si>
  <si>
    <t>After-Tax Cost of Debt</t>
  </si>
  <si>
    <t>Market Capitalization</t>
  </si>
  <si>
    <t>Tax Rate</t>
  </si>
  <si>
    <t>Total Debt</t>
  </si>
  <si>
    <t>Pre-Tax Cost of Debt</t>
  </si>
  <si>
    <t>Target</t>
  </si>
  <si>
    <t>Current</t>
  </si>
  <si>
    <t>Cost of Debt</t>
  </si>
  <si>
    <t>Capital Structure</t>
  </si>
  <si>
    <t>Cost of Equity</t>
  </si>
  <si>
    <t>Equity Risk Premium</t>
  </si>
  <si>
    <t>Country Risk Premium</t>
  </si>
  <si>
    <t>Average Unlevered Beta</t>
  </si>
  <si>
    <t>Risk Free Rate</t>
  </si>
  <si>
    <t>Market Risk Premium</t>
  </si>
  <si>
    <t>Risk Premium for Equity</t>
  </si>
  <si>
    <t>Average</t>
  </si>
  <si>
    <t>Europe</t>
  </si>
  <si>
    <t>Capital</t>
  </si>
  <si>
    <t>Debt</t>
  </si>
  <si>
    <t>Region</t>
  </si>
  <si>
    <t>Unlevered</t>
  </si>
  <si>
    <t>Levered</t>
  </si>
  <si>
    <t>Debt/</t>
  </si>
  <si>
    <t>(Days)</t>
  </si>
  <si>
    <t>Accounts Payable</t>
  </si>
  <si>
    <t>Inventory</t>
  </si>
  <si>
    <t>Accounts Receivable</t>
  </si>
  <si>
    <t>Inflation Rate</t>
  </si>
  <si>
    <t>Driver Switch</t>
  </si>
  <si>
    <t>EBITDA</t>
  </si>
  <si>
    <t>Unlevered Free Cash Flow</t>
  </si>
  <si>
    <t>Change in Working Capital</t>
  </si>
  <si>
    <t>Interest Expense</t>
  </si>
  <si>
    <t>Net Income</t>
  </si>
  <si>
    <t>EBITDA METHOD</t>
  </si>
  <si>
    <t>EBT</t>
  </si>
  <si>
    <t>EBIT</t>
  </si>
  <si>
    <t>Unlevered Free Cash Flow Schedule</t>
  </si>
  <si>
    <t>Ending</t>
  </si>
  <si>
    <t>Beginning</t>
  </si>
  <si>
    <t>Total Depreciation</t>
  </si>
  <si>
    <t>Year</t>
  </si>
  <si>
    <t>Years</t>
  </si>
  <si>
    <t>Cash from Working Capital Items</t>
  </si>
  <si>
    <t>Net Working Capital</t>
  </si>
  <si>
    <t>Current Liabilities</t>
  </si>
  <si>
    <t>Current Assets</t>
  </si>
  <si>
    <t>NET WORKING CAPITAL</t>
  </si>
  <si>
    <t>TOTAL AMOUNTS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</si>
  <si>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</si>
  <si>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>COGS</t>
  </si>
  <si>
    <t>Revenue</t>
  </si>
  <si>
    <t>Working Capital Schedule</t>
  </si>
  <si>
    <t>Total Tax</t>
  </si>
  <si>
    <t>Interest</t>
  </si>
  <si>
    <t>Depreciation</t>
  </si>
  <si>
    <t>Gross Profit</t>
  </si>
  <si>
    <t>Inflation</t>
  </si>
  <si>
    <t>Income Statement</t>
  </si>
  <si>
    <t>Subtotal</t>
  </si>
  <si>
    <t>Cost Schedule</t>
  </si>
  <si>
    <t>REVENUE</t>
  </si>
  <si>
    <t>PRICING</t>
  </si>
  <si>
    <t>Revenue Schedule</t>
  </si>
  <si>
    <t>Construction Start/End Year = 2025 / 2026</t>
  </si>
  <si>
    <t>2025 / 2026</t>
  </si>
  <si>
    <t>Operations Start (COD)</t>
  </si>
  <si>
    <t>Phase 1 Plant Capacity 2027 - 2029 (Mtpa)</t>
  </si>
  <si>
    <t>Phase 2 Plant Capacity &gt; 2030 (Mtpa)</t>
  </si>
  <si>
    <t>PRODUCTION CAPACITY</t>
  </si>
  <si>
    <t>Total Capacity</t>
  </si>
  <si>
    <t>UTILISATION</t>
  </si>
  <si>
    <t>( % of Capacity)</t>
  </si>
  <si>
    <t xml:space="preserve">Utilisation Phase 1 </t>
  </si>
  <si>
    <t>Utilisation Phase 2</t>
  </si>
  <si>
    <t>Phase 1 Starting Capacity</t>
  </si>
  <si>
    <t>(Mtpa/Year)</t>
  </si>
  <si>
    <t>Total Output</t>
  </si>
  <si>
    <t>Phase 2 Additional Capacity</t>
  </si>
  <si>
    <t>OUTPUT</t>
  </si>
  <si>
    <t>Phase 1 Output</t>
  </si>
  <si>
    <t>Phase 2 Output</t>
  </si>
  <si>
    <t>Offtake Coverage</t>
  </si>
  <si>
    <t>%</t>
  </si>
  <si>
    <t>Total Plant Utilisation</t>
  </si>
  <si>
    <t>Operations</t>
  </si>
  <si>
    <t>Ramp Years to 100% = 3 (60% in 2027, 85% in 2028, 100% in 2029)</t>
  </si>
  <si>
    <t>(EUR/Unit)</t>
  </si>
  <si>
    <t>European HRC average 2023 (€/t)</t>
  </si>
  <si>
    <t>Offtake Coverage Share</t>
  </si>
  <si>
    <t>Spot Share</t>
  </si>
  <si>
    <t>Offtake Revenue</t>
  </si>
  <si>
    <t>Spot Revenue</t>
  </si>
  <si>
    <t>Total Revenue</t>
  </si>
  <si>
    <t>All figures in EUR millions unless stated</t>
  </si>
  <si>
    <t>Operations - Phase 1</t>
  </si>
  <si>
    <t>Operations - Phase 2</t>
  </si>
  <si>
    <t>Electricity demand for 2.5 Mt of production TWh</t>
  </si>
  <si>
    <t>TWh</t>
  </si>
  <si>
    <t>Pellets (Iron Ore)</t>
  </si>
  <si>
    <t>Electricity</t>
  </si>
  <si>
    <t>OPERATIONAL EXPENSES</t>
  </si>
  <si>
    <t>(EUR/t)</t>
  </si>
  <si>
    <t>MWh</t>
  </si>
  <si>
    <t>(EUR, mio)</t>
  </si>
  <si>
    <t>Total Steel Output</t>
  </si>
  <si>
    <t>Electricity Cost (EUR/MWh)</t>
  </si>
  <si>
    <t>Pellet Cost (EUR/t)</t>
  </si>
  <si>
    <t>Total COGS</t>
  </si>
  <si>
    <t>Pellet Intensity, for 1tonne steel*</t>
  </si>
  <si>
    <t>EBITDA Margin</t>
  </si>
  <si>
    <t>RSM Impact Investing Case Competition 2025</t>
  </si>
  <si>
    <t>Model Drivers</t>
  </si>
  <si>
    <t>Pellets (Iron Ore) Usage</t>
  </si>
  <si>
    <t>Electricity Usage</t>
  </si>
  <si>
    <t>Scrap Usage</t>
  </si>
  <si>
    <t>Pellets (Iron Ore) Price</t>
  </si>
  <si>
    <t>Electricity Price</t>
  </si>
  <si>
    <t>Scrap Usage (tonnes/tonne steel)**</t>
  </si>
  <si>
    <t>Labor cost average (EUR)****</t>
  </si>
  <si>
    <t>It takes approximately 1.5 tons of DR-grade iron ore pellets to produce 1 ton of crude steel *</t>
  </si>
  <si>
    <t>FTE Operational Phase 1</t>
  </si>
  <si>
    <t>FTE Operational Phase 2 Increase</t>
  </si>
  <si>
    <t>Consumables &amp; Alloys</t>
  </si>
  <si>
    <t xml:space="preserve">Direct Labor </t>
  </si>
  <si>
    <t>Indirect Labor</t>
  </si>
  <si>
    <t>Direct Labor</t>
  </si>
  <si>
    <t>Indirect Labor (Admin, Sales, ESG)</t>
  </si>
  <si>
    <t>SG&amp;A</t>
  </si>
  <si>
    <t>Other SG&amp;A (Marketing, IT, etc)</t>
  </si>
  <si>
    <t>R&amp;D</t>
  </si>
  <si>
    <t>Other SG&amp;A, % of Revenue</t>
  </si>
  <si>
    <t>R&amp;D, % of Revenue</t>
  </si>
  <si>
    <t>R&amp;D Expenses</t>
  </si>
  <si>
    <t>Total Operational Expenses</t>
  </si>
  <si>
    <t>Gross Margin</t>
  </si>
  <si>
    <t>Single Financial Close</t>
  </si>
  <si>
    <t>-</t>
  </si>
  <si>
    <t xml:space="preserve">Phase 1 Deprecation </t>
  </si>
  <si>
    <t>Phase 2 Deprecation</t>
  </si>
  <si>
    <t xml:space="preserve">TOTAL ASSET DEPRECIATION </t>
  </si>
  <si>
    <t>Useful Life Assets</t>
  </si>
  <si>
    <t>Taxes</t>
  </si>
  <si>
    <t>Direct Labor cost, (€/t) ****</t>
  </si>
  <si>
    <t>Other (Logistics, Utilties)</t>
  </si>
  <si>
    <t>na</t>
  </si>
  <si>
    <t>Construction Capex</t>
  </si>
  <si>
    <t>Maintenance Capex</t>
  </si>
  <si>
    <t>Total Capex</t>
  </si>
  <si>
    <t>IRR</t>
  </si>
  <si>
    <t>NPV</t>
  </si>
  <si>
    <t>PAYBACK PERIOD</t>
  </si>
  <si>
    <t>Unlevered Free Cash Flow Cumulative</t>
  </si>
  <si>
    <t>Two Phased Financing</t>
  </si>
  <si>
    <t>Single Close</t>
  </si>
  <si>
    <t xml:space="preserve">Two Phased </t>
  </si>
  <si>
    <t>Scenario Drivers</t>
  </si>
  <si>
    <t>Capex &amp; Depreciation Schedule</t>
  </si>
  <si>
    <t>Tax rate, corporate Sweden</t>
  </si>
  <si>
    <t>Loan Amortization</t>
  </si>
  <si>
    <t>Interest Rate</t>
  </si>
  <si>
    <t>Sources &amp; Uses</t>
  </si>
  <si>
    <t>Sources of Cash</t>
  </si>
  <si>
    <t>Amount</t>
  </si>
  <si>
    <t>Uses of Cash</t>
  </si>
  <si>
    <t>Total Uses</t>
  </si>
  <si>
    <t>Debt Term Loan</t>
  </si>
  <si>
    <t>Construction and Operations</t>
  </si>
  <si>
    <t>Phase 1:</t>
  </si>
  <si>
    <t>Phase 2:</t>
  </si>
  <si>
    <t>If Two-Phased Construction:</t>
  </si>
  <si>
    <t>Total Uses:</t>
  </si>
  <si>
    <t>Construction Capex and Financing Drivers</t>
  </si>
  <si>
    <t>Financing</t>
  </si>
  <si>
    <t>Debt rate</t>
  </si>
  <si>
    <t>Phase 1</t>
  </si>
  <si>
    <t xml:space="preserve">Phase 2 </t>
  </si>
  <si>
    <t>Phase 1: Interest Expense</t>
  </si>
  <si>
    <t>Phase 2: Interest Expense</t>
  </si>
  <si>
    <t>Interest: Two Phased</t>
  </si>
  <si>
    <t>Interest: Single Close</t>
  </si>
  <si>
    <t>Debt Ending Balance</t>
  </si>
  <si>
    <t>Less: Principal Repayments</t>
  </si>
  <si>
    <t>Principal Repayments</t>
  </si>
  <si>
    <t>Debt Schedules: Single Financial Close &amp; Two Phased</t>
  </si>
  <si>
    <t>DSCR and LLCR</t>
  </si>
  <si>
    <t>Debt Service</t>
  </si>
  <si>
    <t>DSCR (EBITDA Method)</t>
  </si>
  <si>
    <t>DSCR (Min)</t>
  </si>
  <si>
    <t>DSCR (Average)</t>
  </si>
  <si>
    <t>LLCR</t>
  </si>
  <si>
    <t>Outstanding debt</t>
  </si>
  <si>
    <t>Single Finacial Close:</t>
  </si>
  <si>
    <t>Two Phase:</t>
  </si>
  <si>
    <t>NPV CFADS</t>
  </si>
  <si>
    <t>Debt Draw</t>
  </si>
  <si>
    <t>Equity Draw</t>
  </si>
  <si>
    <t>Free Cash Flow to Equity (FCFE)</t>
  </si>
  <si>
    <t>Total Capital Expenditure</t>
  </si>
  <si>
    <t>Cash Flow Available for Debt Service (CFADS)</t>
  </si>
  <si>
    <t>Net Equity Cash Flow</t>
  </si>
  <si>
    <t>Levered IRR / NPV / Payback period</t>
  </si>
  <si>
    <t>Unlevered IRR / NPV / Payback period</t>
  </si>
  <si>
    <t>SSAB AB</t>
  </si>
  <si>
    <t>Outokumpu Oyj</t>
  </si>
  <si>
    <t>Salzgitter AG</t>
  </si>
  <si>
    <t>ThyssenKrupp AG</t>
  </si>
  <si>
    <t>Beta</t>
  </si>
  <si>
    <t>Levered Beta</t>
  </si>
  <si>
    <t xml:space="preserve">Peer Tax-rate from financial statements </t>
  </si>
  <si>
    <t>Levered beta is on 5-year monthly data from Yahoo Finance</t>
  </si>
  <si>
    <t>Unlevered Beta = Levered Beta / (1 + (1 - Tax Rate) × Debt-to-Equity)</t>
  </si>
  <si>
    <t xml:space="preserve">Risk-Free Rate (Rf) Sweden 20Y </t>
  </si>
  <si>
    <t>Equity Risk Premium (ERP) 5.5% Damodaran Europe 2025 / AQR</t>
  </si>
  <si>
    <t>Input</t>
  </si>
  <si>
    <t>Base Steel Price</t>
  </si>
  <si>
    <t>Green Premium, Offtake</t>
  </si>
  <si>
    <t>Green Premium, Spot</t>
  </si>
  <si>
    <t>EUR / t</t>
  </si>
  <si>
    <t>EUR / MWh</t>
  </si>
  <si>
    <t>Electricity cost</t>
  </si>
  <si>
    <t>Iron-ore pellet</t>
  </si>
  <si>
    <t>Peers Group</t>
  </si>
  <si>
    <t>Working Capital*</t>
  </si>
  <si>
    <t>Green Offtake Price</t>
  </si>
  <si>
    <t>Green Spot Price</t>
  </si>
  <si>
    <t>Scrap Metal Price***</t>
  </si>
  <si>
    <t>2025 average data; https://www.steelorbis.com/steel-market/scrap.htm ***</t>
  </si>
  <si>
    <t>Scrap Metal Price</t>
  </si>
  <si>
    <t>Scrap Metal</t>
  </si>
  <si>
    <t>20-30% blend in EAF; common for green steel to maintain quality **</t>
  </si>
  <si>
    <t>Consumables &amp; Alloys ***</t>
  </si>
  <si>
    <t>Eurostat 2024 “Hourly Labour Costs in Manufacturing, Sweden; https://www.scb.se/en/finding-statistics/statistics-by-subject-area/labour-market/wages-salaries-and-labour-costs/ ****</t>
  </si>
  <si>
    <t xml:space="preserve">* We have assumed working capital amounts aligned to the industry benchmarks (United States Steel Corporation). </t>
  </si>
  <si>
    <t>Unlev IRR</t>
  </si>
  <si>
    <t>Payback</t>
  </si>
  <si>
    <t>EBITDA M</t>
  </si>
  <si>
    <t>Gross M</t>
  </si>
  <si>
    <t>Min DSCR</t>
  </si>
  <si>
    <t>Sensitivity &amp; Breakeven Analysis</t>
  </si>
  <si>
    <t>Financing &amp; Bankability Dashboard</t>
  </si>
  <si>
    <t>Project Economics (Unlevered)</t>
  </si>
  <si>
    <t>Metric</t>
  </si>
  <si>
    <t>Base</t>
  </si>
  <si>
    <t>Best</t>
  </si>
  <si>
    <t>Worst</t>
  </si>
  <si>
    <t>Unlevered IRR</t>
  </si>
  <si>
    <t>NPV @ 8,3%</t>
  </si>
  <si>
    <t>EBITDA margin</t>
  </si>
  <si>
    <t>Scenario Summary</t>
  </si>
  <si>
    <t>Stegra delivers 16 % unlevered IRR and 3557 m NPV @ 8 %, proving strong project economics before leverage.</t>
  </si>
  <si>
    <t>Equity IRR</t>
  </si>
  <si>
    <t>Worst Case - Conservative stress conditions to test resilience. It assumes a 20% green premium, 65% offtake coverage (greater spot exposure), electricity cost €60/MWh, and pellet cost €110/t.</t>
  </si>
  <si>
    <t>Base Case - It assumes a 25% green premium, 70% offtake coverage under long-term contracts, and renewable power at €50/MWh under the PPA. Pellet costs are set at €100/t, and inflation at 2%.</t>
  </si>
  <si>
    <t>Best Case -  It assumes a 30% green premium, 75% offtake coverage, and renewable power at €45/MWh due to optimized PPA sourcing. Pellet cost falls to €90/t.</t>
  </si>
  <si>
    <t>Capital Structuring</t>
  </si>
  <si>
    <t>Project IRR</t>
  </si>
  <si>
    <t>Comment</t>
  </si>
  <si>
    <t>High debt, early risk</t>
  </si>
  <si>
    <t>Balanced risk return</t>
  </si>
  <si>
    <t>Two Phased</t>
  </si>
  <si>
    <t xml:space="preserve">Financing &amp; Bankability																								</t>
  </si>
  <si>
    <t>Phased financing reduces execution risk, smooths cash flows, and raises equity IRR (+5 pp) while keeping DSCR &gt; 1.6× — the optimal for Stegra.</t>
  </si>
  <si>
    <t>Debt Tenor</t>
  </si>
  <si>
    <t>Metric - Base Scenario</t>
  </si>
  <si>
    <t>Debt, Rate</t>
  </si>
  <si>
    <t>Payback for Investors</t>
  </si>
  <si>
    <t>EIB / EAC Standard</t>
  </si>
  <si>
    <t>Projected Stegra's cost of capital</t>
  </si>
  <si>
    <t>&gt; 15% PE hurdle rate</t>
  </si>
  <si>
    <t>Target / Comment</t>
  </si>
  <si>
    <t>For two-phased credit arrangements</t>
  </si>
  <si>
    <t>Follows PE fund lifecycle</t>
  </si>
  <si>
    <t>Total Debt / EBITDA</t>
  </si>
  <si>
    <t>Debt Service Coverage Ratio</t>
  </si>
  <si>
    <t>Ending balance: Single Close</t>
  </si>
  <si>
    <t>Ending Balance: Two Phased</t>
  </si>
  <si>
    <t>Total Funding</t>
  </si>
  <si>
    <t>Operating Life</t>
  </si>
  <si>
    <t>20 years</t>
  </si>
  <si>
    <t>70% debt, 30% equity</t>
  </si>
  <si>
    <t>Phase 1 + 2 - 2027:</t>
  </si>
  <si>
    <t>&gt;= 1,3x Covenant 1</t>
  </si>
  <si>
    <t>&gt;= 1,3x Covenant 2</t>
  </si>
  <si>
    <t>Max Total Debt / EBITDA</t>
  </si>
  <si>
    <t>DSCR</t>
  </si>
  <si>
    <t>DSCR 1.7× and LLCR 1.5× confirm lender comfort — project is bankable under a 70/30 structure.</t>
  </si>
  <si>
    <t>WACC Sensitivity – NPV vs. Discount Rate</t>
  </si>
  <si>
    <t>Variable</t>
  </si>
  <si>
    <t>IRR (- 10%)</t>
  </si>
  <si>
    <t>IRR (+ 10%)</t>
  </si>
  <si>
    <t>Change -pp</t>
  </si>
  <si>
    <t>Green Premium</t>
  </si>
  <si>
    <t>Pellet cost</t>
  </si>
  <si>
    <t>Tornado Chart</t>
  </si>
  <si>
    <t>Breakeven Analysis</t>
  </si>
  <si>
    <t xml:space="preserve">&lt;= 4,0x from Phase 2 Operations. Optional Covenant </t>
  </si>
  <si>
    <t>Net operating cash flow</t>
  </si>
  <si>
    <t>+10%</t>
  </si>
  <si>
    <t>-10%</t>
  </si>
  <si>
    <t>* 800 EUR 2023 in case</t>
  </si>
  <si>
    <t>* 100 EUR end of 2022</t>
  </si>
  <si>
    <t>* 50 EUR end of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</si>
</sst>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_(* #,##0.00_);_(* \(#,##0.00\);_(* &quot;-&quot;??_);_(@_)"/>
    <numFmt numFmtId="165" formatCode="_(#,##0_)_%;\(#,##0\)_%;_(&quot;–&quot;_)_%;_(@_)_%"/>
    <numFmt numFmtId="166" formatCode="&quot;Yes&quot;;&quot;ERROR&quot;;&quot;No&quot;;&quot;ERROR&quot;"/>
    <numFmt numFmtId="167" formatCode="_(#,##0.0%_);\(#,##0.0%\);_(&quot;–&quot;_)_%;_(@_)_%"/>
    <numFmt numFmtId="168" formatCode="@\⁽\¹\⁾"/>
    <numFmt numFmtId="169" formatCode="_(#,##0_);\(#,##0\);_(&quot;–&quot;_);_(@_)"/>
    <numFmt numFmtId="170" formatCode="_(0.0\x_);\(0.0\x\);_(&quot;–&quot;_);_(@_)"/>
    <numFmt numFmtId="171" formatCode="#,##0_);\(#,##0\);\-"/>
    <numFmt numFmtId="172" formatCode="_(#,##0.00_);\(#,##0.00\);_(&quot;–&quot;_);_(@_)"/>
    <numFmt numFmtId="173" formatCode="#,##0.00_);\(#,##0.00\);\-"/>
    <numFmt numFmtId="174" formatCode="0.0%"/>
    <numFmt numFmtId="175" formatCode="0&quot;A&quot;"/>
    <numFmt numFmtId="176" formatCode="0&quot;F&quot;"/>
    <numFmt numFmtId="177" formatCode="_-* #,##0_-;\(#,##0\)_-;_-* &quot;-&quot;_-;_-@_-"/>
    <numFmt numFmtId="178" formatCode="&quot;Yes&quot;_);&quot;ERROR&quot;_);&quot;No&quot;_);&quot;ERROR&quot;_)"/>
    <numFmt numFmtId="179" formatCode="_(#,##0%_);\(#,##0%\);_(&quot;–&quot;_)_%;_(@_)_%"/>
    <numFmt numFmtId="180" formatCode="@\⁽\³\⁾"/>
    <numFmt numFmtId="181" formatCode="_(0.00\x_)_)_';_(\(0.00\x\)_'_';_(&quot;–&quot;_);_(@_)"/>
    <numFmt numFmtId="182" formatCode="_(#,##0_)\⁽\²\⁾;\(#,##0\)\⁽\²\⁾;_(&quot;–&quot;_)\⁽\²\⁾;_(@_)\⁽\²\⁾"/>
    <numFmt numFmtId="183" formatCode="_(#,##0_)\⁽\¹\⁾;\(#,##0\)\⁽\¹\⁾;_(&quot;–&quot;_)\⁽\¹\⁾;_(@_)\⁽\¹\⁾"/>
    <numFmt numFmtId="184" formatCode="yyyy/mm/dd;@"/>
    <numFmt numFmtId="185" formatCode="#,##0_);[Red]\(#,##0\);\-"/>
    <numFmt numFmtId="186" formatCode="_(0.0000\x_);\(0.0000\x\);_(&quot;–&quot;_);_(@_)"/>
    <numFmt numFmtId="187" formatCode="yy/mm/dd"/>
    <numFmt numFmtId="188" formatCode="#,##0.0_);\(#,##0.0\);\-"/>
    <numFmt numFmtId="189" formatCode="&quot;Yr&quot;\ 0_)"/>
    <numFmt numFmtId="190" formatCode="_(#,##0.0_);\(#,##0.0\);_(&quot;–&quot;_);_(@_)"/>
    <numFmt numFmtId="191" formatCode="_-* #,##0.00_-;\(#,##0.00\)_-;_-* &quot;-&quot;_-;_-@_-"/>
    <numFmt numFmtId="192" formatCode="_(* #,##0.0_);_(* \(#,##0.0\);_(* &quot;-&quot;??_);_(@_)"/>
    <numFmt numFmtId="193" formatCode="_(* #,##0_);_(* \(#,##0\);_(* &quot;-&quot;??_);_(@_)"/>
    <numFmt numFmtId="194" formatCode="_-* #,##0\ [$€-1]_-;\-* #,##0\ [$€-1]_-;_-* &quot;-&quot;??\ [$€-1]_-;_-@_-"/>
    <numFmt numFmtId="195" formatCode="0\ &quot;Years&quot;"/>
    <numFmt numFmtId="196" formatCode="_(0.00\x_);\(0.00\x\);_(&quot;–&quot;_);_(@_)"/>
    <numFmt numFmtId="197" formatCode="0&quot; Years&quot;"/>
    <numFmt numFmtId="198" formatCode="_-* #,##0\ [$€-1]_-;\-* #,##0\ [$€-1]_-;_-* &quot;-&quot;\ [$€-1]_-;_-@_-"/>
    <numFmt numFmtId="199" formatCode="_-&quot;$&quot;* #,##0_-;\-&quot;$&quot;* #,##0_-;_-&quot;$&quot;* &quot;-&quot;_-;_-@_-"/>
    <numFmt numFmtId="200" formatCode="_-[$€-2]\ * #,##0_-;\-[$€-2]\ * #,##0_-;_-[$€-2]\ * &quot;-&quot;??_-;_-@_-"/>
  </numFmts>
  <fonts count="87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u/>
      <sz val="12"/>
      <color theme="10"/>
      <name val="Open Sans"/>
      <family val="2"/>
    </font>
    <font>
      <sz val="12"/>
      <color rgb="FF002060"/>
      <name val="Open Sans"/>
      <family val="2"/>
    </font>
    <font>
      <sz val="12"/>
      <color rgb="FF000000"/>
      <name val="Open Sans"/>
      <family val="2"/>
    </font>
    <font>
      <u/>
      <sz val="11"/>
      <color theme="10"/>
      <name val="Calibri"/>
      <family val="2"/>
      <scheme val="minor"/>
    </font>
    <font>
      <b/>
      <sz val="14"/>
      <color rgb="FF132E57"/>
      <name val="Open Sans"/>
      <family val="2"/>
    </font>
    <font>
      <sz val="10"/>
      <color rgb="FF000000"/>
      <name val="Open Sans"/>
      <family val="2"/>
    </font>
    <font>
      <sz val="11"/>
      <color rgb="FF000000"/>
      <name val="Open Sans"/>
      <family val="2"/>
    </font>
    <font>
      <sz val="9"/>
      <name val="Open Sans"/>
      <family val="2"/>
    </font>
    <font>
      <i/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9"/>
      <color theme="0"/>
      <name val="Open Sans"/>
      <family val="2"/>
    </font>
    <font>
      <b/>
      <vertAlign val="superscript"/>
      <sz val="10"/>
      <color theme="1"/>
      <name val="Open Sans"/>
      <family val="2"/>
    </font>
    <font>
      <i/>
      <sz val="10"/>
      <color theme="1"/>
      <name val="Open Sans"/>
      <family val="2"/>
    </font>
    <font>
      <sz val="11"/>
      <name val="Open Sans"/>
      <family val="2"/>
    </font>
    <font>
      <sz val="11"/>
      <color rgb="FF555555"/>
      <name val="Open Sans"/>
      <family val="2"/>
    </font>
    <font>
      <sz val="11"/>
      <color rgb="FFC32838"/>
      <name val="Open Sans"/>
      <family val="2"/>
    </font>
    <font>
      <i/>
      <sz val="9"/>
      <color rgb="FF000000"/>
      <name val="Open Sans"/>
      <family val="2"/>
    </font>
    <font>
      <i/>
      <sz val="9"/>
      <color theme="1"/>
      <name val="Open Sans"/>
      <family val="2"/>
    </font>
    <font>
      <sz val="14"/>
      <color rgb="FF555555"/>
      <name val="Open Sans"/>
      <family val="2"/>
    </font>
    <font>
      <b/>
      <sz val="10"/>
      <color rgb="FF555555"/>
      <name val="Open Sans"/>
      <family val="2"/>
    </font>
    <font>
      <i/>
      <sz val="9"/>
      <name val="Open Sans"/>
      <family val="2"/>
    </font>
    <font>
      <sz val="14"/>
      <color theme="1"/>
      <name val="Open Sans"/>
      <family val="2"/>
    </font>
    <font>
      <b/>
      <sz val="10"/>
      <name val="Open Sans"/>
      <family val="2"/>
    </font>
    <font>
      <b/>
      <sz val="10"/>
      <color rgb="FF3271D2"/>
      <name val="Open Sans"/>
      <family val="2"/>
    </font>
    <font>
      <b/>
      <sz val="14"/>
      <color rgb="FF3271D2"/>
      <name val="Open Sans"/>
      <family val="2"/>
    </font>
    <font>
      <sz val="10"/>
      <color rgb="FF3271D2"/>
      <name val="Open Sans"/>
      <family val="2"/>
    </font>
    <font>
      <sz val="10"/>
      <name val="Bookman"/>
      <family val="1"/>
    </font>
    <font>
      <b/>
      <sz val="16"/>
      <color theme="0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i/>
      <sz val="11"/>
      <color theme="1"/>
      <name val="Open Sans"/>
      <family val="2"/>
    </font>
    <font>
      <sz val="10"/>
      <name val="Open Sans"/>
      <family val="2"/>
    </font>
    <font>
      <sz val="9"/>
      <color rgb="FF000000"/>
      <name val="Open Sans"/>
      <family val="2"/>
    </font>
    <font>
      <b/>
      <sz val="11"/>
      <color rgb="FF3271D2"/>
      <name val="Open Sans"/>
      <family val="2"/>
    </font>
    <font>
      <b/>
      <sz val="14"/>
      <color rgb="FF0000FF"/>
      <name val="Open Sans"/>
      <family val="2"/>
    </font>
    <font>
      <b/>
      <vertAlign val="superscript"/>
      <sz val="10"/>
      <color rgb="FF000000"/>
      <name val="Open Sans"/>
      <family val="2"/>
    </font>
    <font>
      <sz val="10"/>
      <color rgb="FF0000FF"/>
      <name val="Open Sans"/>
      <family val="2"/>
    </font>
    <font>
      <i/>
      <sz val="10"/>
      <name val="Open Sans"/>
      <family val="2"/>
    </font>
    <font>
      <i/>
      <sz val="8"/>
      <name val="Open Sans"/>
      <family val="2"/>
    </font>
    <font>
      <sz val="10"/>
      <color rgb="FFC32838"/>
      <name val="Open Sans"/>
      <family val="2"/>
    </font>
    <font>
      <sz val="10"/>
      <color theme="9" tint="-0.249977111117893"/>
      <name val="Open Sans"/>
      <family val="2"/>
    </font>
    <font>
      <sz val="14"/>
      <color rgb="FF000000"/>
      <name val="Open Sans"/>
      <family val="2"/>
    </font>
    <font>
      <sz val="8"/>
      <name val="Open Sans"/>
      <family val="2"/>
    </font>
    <font>
      <b/>
      <i/>
      <sz val="10"/>
      <color rgb="FF3271D2"/>
      <name val="Open Sans"/>
      <family val="2"/>
    </font>
    <font>
      <i/>
      <sz val="10"/>
      <color rgb="FF3271D2"/>
      <name val="Open Sans"/>
      <family val="2"/>
    </font>
    <font>
      <b/>
      <sz val="11"/>
      <name val="Open Sans"/>
      <family val="2"/>
    </font>
    <font>
      <b/>
      <sz val="10"/>
      <color rgb="FF0000FF"/>
      <name val="Open Sans"/>
      <family val="2"/>
    </font>
    <font>
      <i/>
      <sz val="10"/>
      <color rgb="FFFF0000"/>
      <name val="Open Sans"/>
      <family val="2"/>
    </font>
    <font>
      <b/>
      <i/>
      <sz val="11"/>
      <color rgb="FFFA621C"/>
      <name val="Open Sans"/>
      <family val="2"/>
    </font>
    <font>
      <b/>
      <sz val="11"/>
      <color rgb="FFFA621C"/>
      <name val="Open Sans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B0F0"/>
      <name val="Open Sans"/>
      <family val="2"/>
    </font>
    <font>
      <b/>
      <sz val="10"/>
      <color rgb="FF000000"/>
      <name val="Open Sans"/>
    </font>
    <font>
      <b/>
      <sz val="11"/>
      <color theme="1"/>
      <name val="Open Sans"/>
    </font>
    <font>
      <b/>
      <sz val="10"/>
      <color theme="0"/>
      <name val="Open Sans"/>
    </font>
    <font>
      <sz val="10"/>
      <name val="Open Sans"/>
    </font>
    <font>
      <i/>
      <sz val="10"/>
      <name val="Open Sans"/>
    </font>
    <font>
      <i/>
      <sz val="8"/>
      <name val="Open Sans"/>
    </font>
    <font>
      <i/>
      <sz val="10"/>
      <color rgb="FF000000"/>
      <name val="Open Sans"/>
    </font>
    <font>
      <i/>
      <sz val="11"/>
      <name val="Open Sans"/>
    </font>
    <font>
      <b/>
      <i/>
      <sz val="10"/>
      <name val="Open Sans"/>
    </font>
    <font>
      <b/>
      <sz val="20"/>
      <color theme="0"/>
      <name val="Open Sans"/>
    </font>
    <font>
      <b/>
      <sz val="20"/>
      <color rgb="FFFFFFFF"/>
      <name val="Open Sans"/>
      <charset val="1"/>
    </font>
    <font>
      <sz val="10"/>
      <color rgb="FF000000"/>
      <name val="Open Sans"/>
    </font>
    <font>
      <b/>
      <sz val="10"/>
      <name val="Open Sans"/>
    </font>
    <font>
      <b/>
      <sz val="10"/>
      <color theme="1"/>
      <name val="Open Sans"/>
    </font>
    <font>
      <i/>
      <sz val="8"/>
      <color rgb="FF000000"/>
      <name val="Open Sans Regular"/>
    </font>
    <font>
      <sz val="11"/>
      <color theme="1"/>
      <name val="Arial Narrow"/>
      <family val="2"/>
    </font>
    <font>
      <sz val="10"/>
      <color theme="1"/>
      <name val="Open Sans"/>
    </font>
    <font>
      <sz val="14"/>
      <color theme="1"/>
      <name val="Open Sans"/>
    </font>
    <font>
      <i/>
      <sz val="10"/>
      <color theme="1"/>
      <name val="Open Sans"/>
    </font>
    <font>
      <sz val="11"/>
      <color theme="0"/>
      <name val="Open Sans"/>
    </font>
    <font>
      <sz val="10"/>
      <color theme="0"/>
      <name val="Open Sans"/>
    </font>
    <font>
      <sz val="1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/>
      <right/>
      <top style="medium">
        <color rgb="FF3271D2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rgb="FF000000"/>
      </top>
      <bottom/>
      <diagonal/>
    </border>
    <border>
      <left style="hair">
        <color auto="1"/>
      </left>
      <right/>
      <top style="thin">
        <color rgb="FF000000"/>
      </top>
      <bottom style="medium">
        <color rgb="FF000000"/>
      </bottom>
      <diagonal/>
    </border>
    <border>
      <left style="hair">
        <color auto="1"/>
      </left>
      <right/>
      <top/>
      <bottom style="hair">
        <color rgb="FF000000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thin">
        <color rgb="FF00B0F0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2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37" fillId="0" borderId="0" applyFont="0" applyFill="0" applyBorder="0" applyAlignment="0" applyProtection="0"/>
    <xf numFmtId="0" fontId="61" fillId="0" borderId="0"/>
    <xf numFmtId="164" fontId="80" fillId="0" borderId="0" applyFont="0" applyFill="0" applyBorder="0" applyAlignment="0" applyProtection="0"/>
    <xf numFmtId="9" fontId="61" fillId="0" borderId="0" applyFont="0" applyFill="0" applyBorder="0" applyAlignment="0" applyProtection="0"/>
  </cellStyleXfs>
  <cellXfs count="646">
    <xf numFmtId="0" fontId="0" fillId="0" borderId="0" xfId="0"/>
    <xf numFmtId="0" fontId="10" fillId="0" borderId="0" xfId="4" applyFont="1" applyFill="1" applyBorder="1"/>
    <xf numFmtId="165" fontId="11" fillId="0" borderId="0" xfId="4" applyNumberFormat="1" applyFont="1" applyFill="1" applyBorder="1"/>
    <xf numFmtId="0" fontId="12" fillId="0" borderId="0" xfId="4" applyFont="1" applyFill="1" applyBorder="1" applyProtection="1">
      <protection locked="0"/>
    </xf>
    <xf numFmtId="166" fontId="13" fillId="0" borderId="0" xfId="4" applyNumberFormat="1" applyFont="1" applyFill="1" applyBorder="1" applyAlignment="1" applyProtection="1">
      <alignment horizontal="center"/>
      <protection locked="0"/>
    </xf>
    <xf numFmtId="165" fontId="13" fillId="0" borderId="0" xfId="4" applyNumberFormat="1" applyFont="1" applyFill="1" applyBorder="1" applyAlignment="1" applyProtection="1">
      <alignment horizontal="left"/>
      <protection locked="0"/>
    </xf>
    <xf numFmtId="0" fontId="10" fillId="0" borderId="0" xfId="0" applyFont="1"/>
    <xf numFmtId="165" fontId="11" fillId="0" borderId="0" xfId="5" applyNumberFormat="1" applyFont="1" applyFill="1" applyBorder="1" applyProtection="1">
      <protection locked="0"/>
    </xf>
    <xf numFmtId="0" fontId="7" fillId="0" borderId="0" xfId="0" applyFont="1"/>
    <xf numFmtId="0" fontId="7" fillId="0" borderId="2" xfId="0" applyFont="1" applyBorder="1"/>
    <xf numFmtId="167" fontId="16" fillId="0" borderId="0" xfId="2" applyNumberFormat="1" applyFont="1" applyFill="1" applyBorder="1" applyAlignment="1">
      <alignment horizontal="right" vertical="center"/>
    </xf>
    <xf numFmtId="0" fontId="17" fillId="0" borderId="0" xfId="0" applyFont="1"/>
    <xf numFmtId="168" fontId="18" fillId="0" borderId="0" xfId="0" quotePrefix="1" applyNumberFormat="1" applyFont="1" applyAlignment="1">
      <alignment horizontal="right"/>
    </xf>
    <xf numFmtId="167" fontId="16" fillId="0" borderId="0" xfId="1" applyNumberFormat="1" applyFont="1" applyBorder="1" applyAlignment="1">
      <alignment horizontal="right" vertical="center"/>
    </xf>
    <xf numFmtId="167" fontId="19" fillId="0" borderId="0" xfId="2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 textRotation="90"/>
    </xf>
    <xf numFmtId="169" fontId="16" fillId="0" borderId="0" xfId="1" applyNumberFormat="1" applyFont="1" applyBorder="1" applyAlignment="1">
      <alignment vertical="center"/>
    </xf>
    <xf numFmtId="167" fontId="16" fillId="0" borderId="3" xfId="1" applyNumberFormat="1" applyFont="1" applyFill="1" applyBorder="1" applyAlignment="1">
      <alignment horizontal="right" vertical="center"/>
    </xf>
    <xf numFmtId="167" fontId="16" fillId="0" borderId="2" xfId="1" applyNumberFormat="1" applyFont="1" applyFill="1" applyBorder="1" applyAlignment="1">
      <alignment horizontal="right" vertical="center"/>
    </xf>
    <xf numFmtId="167" fontId="16" fillId="0" borderId="4" xfId="1" applyNumberFormat="1" applyFont="1" applyFill="1" applyBorder="1" applyAlignment="1">
      <alignment horizontal="right" vertical="center"/>
    </xf>
    <xf numFmtId="169" fontId="16" fillId="0" borderId="3" xfId="1" applyNumberFormat="1" applyFont="1" applyFill="1" applyBorder="1" applyAlignment="1">
      <alignment vertical="center"/>
    </xf>
    <xf numFmtId="169" fontId="16" fillId="0" borderId="2" xfId="1" applyNumberFormat="1" applyFont="1" applyFill="1" applyBorder="1" applyAlignment="1">
      <alignment vertical="center"/>
    </xf>
    <xf numFmtId="169" fontId="16" fillId="0" borderId="4" xfId="1" applyNumberFormat="1" applyFont="1" applyFill="1" applyBorder="1" applyAlignment="1">
      <alignment vertical="center"/>
    </xf>
    <xf numFmtId="167" fontId="16" fillId="0" borderId="5" xfId="1" applyNumberFormat="1" applyFont="1" applyFill="1" applyBorder="1" applyAlignment="1">
      <alignment horizontal="right" vertical="center"/>
    </xf>
    <xf numFmtId="167" fontId="16" fillId="0" borderId="0" xfId="1" applyNumberFormat="1" applyFont="1" applyFill="1" applyAlignment="1">
      <alignment horizontal="right" vertical="center"/>
    </xf>
    <xf numFmtId="167" fontId="16" fillId="0" borderId="6" xfId="1" applyNumberFormat="1" applyFont="1" applyFill="1" applyBorder="1" applyAlignment="1">
      <alignment horizontal="right" vertical="center"/>
    </xf>
    <xf numFmtId="169" fontId="16" fillId="0" borderId="5" xfId="1" applyNumberFormat="1" applyFont="1" applyFill="1" applyBorder="1" applyAlignment="1">
      <alignment vertical="center"/>
    </xf>
    <xf numFmtId="169" fontId="16" fillId="0" borderId="0" xfId="1" applyNumberFormat="1" applyFont="1" applyFill="1" applyAlignment="1">
      <alignment vertical="center"/>
    </xf>
    <xf numFmtId="169" fontId="16" fillId="0" borderId="6" xfId="1" applyNumberFormat="1" applyFont="1" applyFill="1" applyBorder="1" applyAlignment="1">
      <alignment vertical="center"/>
    </xf>
    <xf numFmtId="167" fontId="20" fillId="0" borderId="7" xfId="1" applyNumberFormat="1" applyFont="1" applyFill="1" applyBorder="1" applyAlignment="1">
      <alignment horizontal="right" vertical="center"/>
    </xf>
    <xf numFmtId="169" fontId="20" fillId="0" borderId="7" xfId="1" applyNumberFormat="1" applyFont="1" applyFill="1" applyBorder="1" applyAlignment="1">
      <alignment vertical="center"/>
    </xf>
    <xf numFmtId="167" fontId="16" fillId="0" borderId="8" xfId="1" applyNumberFormat="1" applyFont="1" applyFill="1" applyBorder="1" applyAlignment="1">
      <alignment horizontal="right" vertical="center"/>
    </xf>
    <xf numFmtId="167" fontId="16" fillId="0" borderId="9" xfId="1" applyNumberFormat="1" applyFont="1" applyFill="1" applyBorder="1" applyAlignment="1">
      <alignment horizontal="right" vertical="center"/>
    </xf>
    <xf numFmtId="167" fontId="16" fillId="0" borderId="10" xfId="1" applyNumberFormat="1" applyFont="1" applyFill="1" applyBorder="1" applyAlignment="1">
      <alignment horizontal="right" vertical="center"/>
    </xf>
    <xf numFmtId="169" fontId="16" fillId="0" borderId="8" xfId="1" applyNumberFormat="1" applyFont="1" applyFill="1" applyBorder="1" applyAlignment="1">
      <alignment vertical="center"/>
    </xf>
    <xf numFmtId="169" fontId="16" fillId="0" borderId="9" xfId="1" applyNumberFormat="1" applyFont="1" applyFill="1" applyBorder="1" applyAlignment="1">
      <alignment vertical="center"/>
    </xf>
    <xf numFmtId="169" fontId="16" fillId="0" borderId="10" xfId="1" applyNumberFormat="1" applyFont="1" applyFill="1" applyBorder="1" applyAlignment="1">
      <alignment vertical="center"/>
    </xf>
    <xf numFmtId="170" fontId="19" fillId="0" borderId="0" xfId="2" applyNumberFormat="1" applyFont="1" applyFill="1" applyBorder="1" applyAlignment="1">
      <alignment horizontal="right" vertical="center"/>
    </xf>
    <xf numFmtId="171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centerContinuous"/>
    </xf>
    <xf numFmtId="0" fontId="16" fillId="0" borderId="0" xfId="0" applyFont="1" applyAlignment="1">
      <alignment horizontal="centerContinuous" vertical="center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17" fillId="0" borderId="11" xfId="0" applyFont="1" applyBorder="1"/>
    <xf numFmtId="0" fontId="7" fillId="0" borderId="11" xfId="0" applyFont="1" applyBorder="1"/>
    <xf numFmtId="0" fontId="20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2" fontId="16" fillId="0" borderId="3" xfId="1" applyNumberFormat="1" applyFont="1" applyFill="1" applyBorder="1" applyAlignment="1">
      <alignment vertical="center"/>
    </xf>
    <xf numFmtId="172" fontId="16" fillId="0" borderId="2" xfId="1" applyNumberFormat="1" applyFont="1" applyFill="1" applyBorder="1" applyAlignment="1">
      <alignment vertical="center"/>
    </xf>
    <xf numFmtId="172" fontId="16" fillId="0" borderId="4" xfId="1" applyNumberFormat="1" applyFont="1" applyFill="1" applyBorder="1" applyAlignment="1">
      <alignment vertical="center"/>
    </xf>
    <xf numFmtId="172" fontId="16" fillId="0" borderId="5" xfId="1" applyNumberFormat="1" applyFont="1" applyFill="1" applyBorder="1" applyAlignment="1">
      <alignment vertical="center"/>
    </xf>
    <xf numFmtId="172" fontId="16" fillId="0" borderId="0" xfId="1" applyNumberFormat="1" applyFont="1" applyFill="1" applyAlignment="1">
      <alignment vertical="center"/>
    </xf>
    <xf numFmtId="172" fontId="16" fillId="0" borderId="6" xfId="1" applyNumberFormat="1" applyFont="1" applyFill="1" applyBorder="1" applyAlignment="1">
      <alignment vertical="center"/>
    </xf>
    <xf numFmtId="172" fontId="20" fillId="0" borderId="7" xfId="1" applyNumberFormat="1" applyFont="1" applyFill="1" applyBorder="1" applyAlignment="1">
      <alignment vertical="center"/>
    </xf>
    <xf numFmtId="172" fontId="16" fillId="0" borderId="8" xfId="1" applyNumberFormat="1" applyFont="1" applyFill="1" applyBorder="1" applyAlignment="1">
      <alignment vertical="center"/>
    </xf>
    <xf numFmtId="172" fontId="16" fillId="0" borderId="9" xfId="1" applyNumberFormat="1" applyFont="1" applyFill="1" applyBorder="1" applyAlignment="1">
      <alignment vertical="center"/>
    </xf>
    <xf numFmtId="172" fontId="16" fillId="0" borderId="10" xfId="1" applyNumberFormat="1" applyFont="1" applyFill="1" applyBorder="1" applyAlignment="1">
      <alignment vertical="center"/>
    </xf>
    <xf numFmtId="173" fontId="16" fillId="0" borderId="0" xfId="0" applyNumberFormat="1" applyFont="1" applyAlignment="1">
      <alignment horizontal="right"/>
    </xf>
    <xf numFmtId="171" fontId="21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4" fontId="16" fillId="0" borderId="0" xfId="2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4" fillId="0" borderId="0" xfId="0" applyFont="1"/>
    <xf numFmtId="0" fontId="25" fillId="0" borderId="0" xfId="0" applyFont="1"/>
    <xf numFmtId="0" fontId="16" fillId="0" borderId="0" xfId="0" applyFont="1" applyAlignment="1">
      <alignment horizontal="left"/>
    </xf>
    <xf numFmtId="0" fontId="26" fillId="0" borderId="0" xfId="0" applyFont="1"/>
    <xf numFmtId="172" fontId="16" fillId="0" borderId="0" xfId="0" applyNumberFormat="1" applyFont="1" applyAlignment="1">
      <alignment horizontal="right"/>
    </xf>
    <xf numFmtId="0" fontId="27" fillId="0" borderId="0" xfId="0" quotePrefix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173" fontId="16" fillId="0" borderId="3" xfId="0" applyNumberFormat="1" applyFont="1" applyBorder="1" applyAlignment="1">
      <alignment horizontal="center"/>
    </xf>
    <xf numFmtId="171" fontId="16" fillId="0" borderId="2" xfId="0" applyNumberFormat="1" applyFont="1" applyBorder="1" applyAlignment="1">
      <alignment horizontal="center"/>
    </xf>
    <xf numFmtId="171" fontId="16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169" fontId="16" fillId="0" borderId="0" xfId="1" applyNumberFormat="1" applyFont="1" applyFill="1" applyBorder="1" applyAlignment="1">
      <alignment horizontal="right" vertical="center"/>
    </xf>
    <xf numFmtId="0" fontId="28" fillId="0" borderId="0" xfId="0" quotePrefix="1" applyFont="1" applyAlignment="1">
      <alignment horizontal="center" vertical="center"/>
    </xf>
    <xf numFmtId="37" fontId="29" fillId="0" borderId="0" xfId="0" applyNumberFormat="1" applyFont="1" applyAlignment="1">
      <alignment vertical="center"/>
    </xf>
    <xf numFmtId="175" fontId="30" fillId="0" borderId="0" xfId="0" applyNumberFormat="1" applyFont="1" applyAlignment="1">
      <alignment horizontal="right"/>
    </xf>
    <xf numFmtId="173" fontId="16" fillId="0" borderId="5" xfId="0" applyNumberFormat="1" applyFont="1" applyBorder="1" applyAlignment="1">
      <alignment horizontal="center"/>
    </xf>
    <xf numFmtId="171" fontId="16" fillId="0" borderId="0" xfId="0" applyNumberFormat="1" applyFont="1" applyAlignment="1">
      <alignment horizontal="center"/>
    </xf>
    <xf numFmtId="171" fontId="16" fillId="0" borderId="6" xfId="0" applyNumberFormat="1" applyFont="1" applyBorder="1" applyAlignment="1">
      <alignment horizontal="center"/>
    </xf>
    <xf numFmtId="165" fontId="31" fillId="0" borderId="0" xfId="0" applyNumberFormat="1" applyFont="1" applyAlignment="1">
      <alignment vertical="center"/>
    </xf>
    <xf numFmtId="173" fontId="16" fillId="0" borderId="8" xfId="0" applyNumberFormat="1" applyFont="1" applyBorder="1" applyAlignment="1">
      <alignment horizontal="center"/>
    </xf>
    <xf numFmtId="171" fontId="16" fillId="0" borderId="9" xfId="0" applyNumberFormat="1" applyFont="1" applyBorder="1" applyAlignment="1">
      <alignment horizontal="center"/>
    </xf>
    <xf numFmtId="171" fontId="16" fillId="0" borderId="10" xfId="0" applyNumberFormat="1" applyFont="1" applyBorder="1" applyAlignment="1">
      <alignment horizontal="center"/>
    </xf>
    <xf numFmtId="169" fontId="16" fillId="0" borderId="0" xfId="0" applyNumberFormat="1" applyFont="1"/>
    <xf numFmtId="0" fontId="7" fillId="0" borderId="0" xfId="0" applyFont="1" applyAlignment="1">
      <alignment horizontal="center"/>
    </xf>
    <xf numFmtId="171" fontId="6" fillId="0" borderId="0" xfId="0" applyNumberFormat="1" applyFont="1" applyAlignment="1">
      <alignment horizontal="center"/>
    </xf>
    <xf numFmtId="170" fontId="16" fillId="0" borderId="0" xfId="2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37" fontId="32" fillId="0" borderId="0" xfId="0" applyNumberFormat="1" applyFont="1" applyAlignment="1">
      <alignment vertical="center"/>
    </xf>
    <xf numFmtId="175" fontId="33" fillId="0" borderId="0" xfId="0" applyNumberFormat="1" applyFont="1" applyAlignment="1">
      <alignment horizontal="right"/>
    </xf>
    <xf numFmtId="0" fontId="24" fillId="0" borderId="11" xfId="0" applyFont="1" applyBorder="1"/>
    <xf numFmtId="0" fontId="5" fillId="0" borderId="0" xfId="0" applyFont="1" applyAlignment="1">
      <alignment horizontal="left" vertical="center"/>
    </xf>
    <xf numFmtId="165" fontId="27" fillId="0" borderId="0" xfId="0" applyNumberFormat="1" applyFont="1" applyAlignment="1">
      <alignment horizontal="left" vertical="center"/>
    </xf>
    <xf numFmtId="176" fontId="33" fillId="0" borderId="0" xfId="0" applyNumberFormat="1" applyFont="1" applyAlignment="1">
      <alignment horizontal="right"/>
    </xf>
    <xf numFmtId="175" fontId="34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37" fontId="6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175" fontId="3" fillId="2" borderId="0" xfId="0" applyNumberFormat="1" applyFont="1" applyFill="1" applyAlignment="1">
      <alignment horizontal="right"/>
    </xf>
    <xf numFmtId="37" fontId="6" fillId="2" borderId="0" xfId="0" applyNumberFormat="1" applyFont="1" applyFill="1" applyAlignment="1">
      <alignment vertical="center"/>
    </xf>
    <xf numFmtId="37" fontId="3" fillId="2" borderId="0" xfId="0" applyNumberFormat="1" applyFont="1" applyFill="1" applyAlignment="1">
      <alignment vertical="center"/>
    </xf>
    <xf numFmtId="37" fontId="35" fillId="2" borderId="0" xfId="0" applyNumberFormat="1" applyFont="1" applyFill="1" applyAlignment="1">
      <alignment vertical="center"/>
    </xf>
    <xf numFmtId="169" fontId="16" fillId="0" borderId="0" xfId="1" applyNumberFormat="1" applyFont="1" applyFill="1" applyBorder="1" applyAlignment="1">
      <alignment vertical="center"/>
    </xf>
    <xf numFmtId="167" fontId="19" fillId="0" borderId="2" xfId="2" applyNumberFormat="1" applyFont="1" applyFill="1" applyBorder="1" applyAlignment="1">
      <alignment horizontal="right" vertical="center"/>
    </xf>
    <xf numFmtId="0" fontId="36" fillId="0" borderId="0" xfId="0" applyFont="1" applyAlignment="1">
      <alignment vertical="center"/>
    </xf>
    <xf numFmtId="169" fontId="16" fillId="0" borderId="0" xfId="1" applyNumberFormat="1" applyFont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171" fontId="36" fillId="0" borderId="0" xfId="0" applyNumberFormat="1" applyFont="1" applyAlignment="1">
      <alignment horizontal="center"/>
    </xf>
    <xf numFmtId="177" fontId="7" fillId="0" borderId="0" xfId="6" applyNumberFormat="1" applyFont="1" applyProtection="1">
      <protection locked="0"/>
    </xf>
    <xf numFmtId="177" fontId="7" fillId="0" borderId="0" xfId="6" applyNumberFormat="1" applyFont="1" applyFill="1" applyProtection="1">
      <protection locked="0"/>
    </xf>
    <xf numFmtId="175" fontId="39" fillId="0" borderId="0" xfId="0" applyNumberFormat="1" applyFont="1" applyAlignment="1">
      <alignment horizontal="right" vertical="center"/>
    </xf>
    <xf numFmtId="177" fontId="41" fillId="0" borderId="0" xfId="6" applyNumberFormat="1" applyFont="1" applyAlignment="1" applyProtection="1">
      <alignment horizontal="center"/>
      <protection locked="0"/>
    </xf>
    <xf numFmtId="0" fontId="7" fillId="0" borderId="0" xfId="0" applyFont="1" applyAlignment="1">
      <alignment vertical="center"/>
    </xf>
    <xf numFmtId="0" fontId="1" fillId="0" borderId="0" xfId="0" applyFont="1"/>
    <xf numFmtId="0" fontId="7" fillId="0" borderId="12" xfId="0" applyFont="1" applyBorder="1"/>
    <xf numFmtId="0" fontId="40" fillId="0" borderId="0" xfId="0" quotePrefix="1" applyFont="1" applyAlignment="1">
      <alignment horizontal="center" vertical="center"/>
    </xf>
    <xf numFmtId="167" fontId="42" fillId="0" borderId="0" xfId="0" applyNumberFormat="1" applyFont="1"/>
    <xf numFmtId="167" fontId="16" fillId="0" borderId="0" xfId="0" applyNumberFormat="1" applyFont="1"/>
    <xf numFmtId="177" fontId="7" fillId="0" borderId="0" xfId="6" applyNumberFormat="1" applyFont="1" applyFill="1" applyBorder="1" applyProtection="1">
      <protection locked="0"/>
    </xf>
    <xf numFmtId="177" fontId="41" fillId="0" borderId="0" xfId="6" applyNumberFormat="1" applyFont="1" applyAlignment="1">
      <alignment horizontal="right"/>
    </xf>
    <xf numFmtId="177" fontId="41" fillId="0" borderId="0" xfId="6" applyNumberFormat="1" applyFont="1" applyProtection="1">
      <protection locked="0"/>
    </xf>
    <xf numFmtId="174" fontId="36" fillId="0" borderId="0" xfId="0" applyNumberFormat="1" applyFont="1" applyAlignment="1">
      <alignment vertical="center"/>
    </xf>
    <xf numFmtId="174" fontId="36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7" fontId="16" fillId="0" borderId="13" xfId="0" applyNumberFormat="1" applyFont="1" applyBorder="1" applyAlignment="1">
      <alignment vertical="center"/>
    </xf>
    <xf numFmtId="0" fontId="16" fillId="0" borderId="0" xfId="0" applyFont="1" applyAlignment="1">
      <alignment horizontal="left" indent="1"/>
    </xf>
    <xf numFmtId="0" fontId="42" fillId="0" borderId="0" xfId="0" applyFont="1"/>
    <xf numFmtId="0" fontId="24" fillId="0" borderId="12" xfId="0" applyFont="1" applyBorder="1"/>
    <xf numFmtId="180" fontId="43" fillId="0" borderId="0" xfId="0" applyNumberFormat="1" applyFont="1" applyAlignment="1">
      <alignment horizontal="left" indent="1"/>
    </xf>
    <xf numFmtId="167" fontId="16" fillId="0" borderId="0" xfId="0" applyNumberFormat="1" applyFont="1" applyAlignment="1">
      <alignment vertical="center"/>
    </xf>
    <xf numFmtId="0" fontId="27" fillId="0" borderId="0" xfId="0" applyFont="1"/>
    <xf numFmtId="169" fontId="5" fillId="0" borderId="14" xfId="0" applyNumberFormat="1" applyFont="1" applyBorder="1" applyAlignment="1">
      <alignment horizontal="right" vertical="center"/>
    </xf>
    <xf numFmtId="0" fontId="23" fillId="0" borderId="11" xfId="0" applyFont="1" applyBorder="1" applyAlignment="1">
      <alignment vertical="center"/>
    </xf>
    <xf numFmtId="37" fontId="3" fillId="0" borderId="2" xfId="0" applyNumberFormat="1" applyFont="1" applyBorder="1" applyAlignment="1">
      <alignment vertical="center"/>
    </xf>
    <xf numFmtId="0" fontId="24" fillId="0" borderId="2" xfId="0" applyFont="1" applyBorder="1"/>
    <xf numFmtId="0" fontId="20" fillId="0" borderId="2" xfId="0" applyFont="1" applyBorder="1" applyAlignment="1">
      <alignment horizontal="left"/>
    </xf>
    <xf numFmtId="0" fontId="41" fillId="0" borderId="0" xfId="0" applyFont="1"/>
    <xf numFmtId="0" fontId="19" fillId="0" borderId="0" xfId="0" applyFont="1" applyAlignment="1">
      <alignment horizontal="left" indent="1"/>
    </xf>
    <xf numFmtId="169" fontId="16" fillId="0" borderId="0" xfId="0" applyNumberFormat="1" applyFont="1" applyAlignment="1">
      <alignment vertical="center"/>
    </xf>
    <xf numFmtId="167" fontId="36" fillId="0" borderId="0" xfId="0" applyNumberFormat="1" applyFont="1" applyAlignment="1">
      <alignment vertical="center"/>
    </xf>
    <xf numFmtId="169" fontId="20" fillId="0" borderId="2" xfId="0" applyNumberFormat="1" applyFont="1" applyBorder="1" applyAlignment="1">
      <alignment horizontal="right"/>
    </xf>
    <xf numFmtId="171" fontId="16" fillId="0" borderId="0" xfId="0" applyNumberFormat="1" applyFont="1"/>
    <xf numFmtId="172" fontId="16" fillId="0" borderId="2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left" indent="1"/>
    </xf>
    <xf numFmtId="172" fontId="16" fillId="0" borderId="0" xfId="0" applyNumberFormat="1" applyFont="1"/>
    <xf numFmtId="172" fontId="42" fillId="0" borderId="0" xfId="0" applyNumberFormat="1" applyFont="1"/>
    <xf numFmtId="172" fontId="36" fillId="0" borderId="0" xfId="0" applyNumberFormat="1" applyFont="1"/>
    <xf numFmtId="0" fontId="20" fillId="0" borderId="0" xfId="0" applyFont="1" applyAlignment="1">
      <alignment horizontal="center"/>
    </xf>
    <xf numFmtId="172" fontId="16" fillId="0" borderId="12" xfId="0" applyNumberFormat="1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167" fontId="16" fillId="0" borderId="11" xfId="2" applyNumberFormat="1" applyFont="1" applyFill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175" fontId="33" fillId="0" borderId="11" xfId="0" applyNumberFormat="1" applyFont="1" applyBorder="1" applyAlignment="1">
      <alignment horizontal="left"/>
    </xf>
    <xf numFmtId="172" fontId="16" fillId="0" borderId="0" xfId="0" applyNumberFormat="1" applyFont="1" applyAlignment="1">
      <alignment horizontal="center" vertical="center"/>
    </xf>
    <xf numFmtId="172" fontId="36" fillId="0" borderId="0" xfId="0" applyNumberFormat="1" applyFont="1" applyAlignment="1">
      <alignment horizontal="right" vertical="center"/>
    </xf>
    <xf numFmtId="181" fontId="16" fillId="0" borderId="0" xfId="0" applyNumberFormat="1" applyFont="1" applyAlignment="1">
      <alignment horizontal="center" vertical="center"/>
    </xf>
    <xf numFmtId="169" fontId="36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left"/>
    </xf>
    <xf numFmtId="172" fontId="36" fillId="0" borderId="12" xfId="0" applyNumberFormat="1" applyFont="1" applyBorder="1" applyAlignment="1">
      <alignment horizontal="center" vertical="center"/>
    </xf>
    <xf numFmtId="174" fontId="16" fillId="0" borderId="12" xfId="2" applyNumberFormat="1" applyFont="1" applyFill="1" applyBorder="1" applyAlignment="1">
      <alignment horizontal="center" vertical="center"/>
    </xf>
    <xf numFmtId="167" fontId="36" fillId="0" borderId="12" xfId="0" applyNumberFormat="1" applyFont="1" applyBorder="1" applyAlignment="1">
      <alignment horizontal="center" vertical="center"/>
    </xf>
    <xf numFmtId="169" fontId="36" fillId="0" borderId="12" xfId="0" applyNumberFormat="1" applyFont="1" applyBorder="1" applyAlignment="1">
      <alignment horizontal="right" vertical="center"/>
    </xf>
    <xf numFmtId="37" fontId="36" fillId="0" borderId="12" xfId="0" applyNumberFormat="1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172" fontId="36" fillId="0" borderId="0" xfId="0" applyNumberFormat="1" applyFont="1" applyAlignment="1">
      <alignment horizontal="center" vertical="center"/>
    </xf>
    <xf numFmtId="174" fontId="16" fillId="0" borderId="0" xfId="2" applyNumberFormat="1" applyFont="1" applyFill="1" applyBorder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37" fontId="3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9" fontId="20" fillId="0" borderId="15" xfId="0" applyNumberFormat="1" applyFont="1" applyBorder="1" applyAlignment="1">
      <alignment horizontal="right"/>
    </xf>
    <xf numFmtId="182" fontId="20" fillId="0" borderId="15" xfId="0" applyNumberFormat="1" applyFont="1" applyBorder="1" applyAlignment="1">
      <alignment horizontal="center"/>
    </xf>
    <xf numFmtId="169" fontId="20" fillId="0" borderId="15" xfId="0" applyNumberFormat="1" applyFont="1" applyBorder="1" applyAlignment="1">
      <alignment horizontal="center"/>
    </xf>
    <xf numFmtId="183" fontId="20" fillId="0" borderId="15" xfId="0" applyNumberFormat="1" applyFont="1" applyBorder="1" applyAlignment="1">
      <alignment horizontal="right"/>
    </xf>
    <xf numFmtId="0" fontId="20" fillId="0" borderId="15" xfId="0" applyFont="1" applyBorder="1" applyAlignment="1">
      <alignment horizontal="left"/>
    </xf>
    <xf numFmtId="0" fontId="5" fillId="0" borderId="0" xfId="0" applyFont="1" applyAlignment="1">
      <alignment horizontal="center"/>
    </xf>
    <xf numFmtId="169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169" fontId="33" fillId="0" borderId="11" xfId="0" applyNumberFormat="1" applyFont="1" applyBorder="1" applyAlignment="1">
      <alignment horizontal="right"/>
    </xf>
    <xf numFmtId="169" fontId="33" fillId="0" borderId="11" xfId="0" applyNumberFormat="1" applyFont="1" applyBorder="1" applyAlignment="1">
      <alignment horizontal="center"/>
    </xf>
    <xf numFmtId="169" fontId="20" fillId="0" borderId="11" xfId="0" applyNumberFormat="1" applyFont="1" applyBorder="1" applyAlignment="1">
      <alignment horizontal="center"/>
    </xf>
    <xf numFmtId="0" fontId="34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37" fontId="45" fillId="0" borderId="0" xfId="0" applyNumberFormat="1" applyFont="1" applyAlignment="1">
      <alignment vertical="center"/>
    </xf>
    <xf numFmtId="37" fontId="35" fillId="0" borderId="0" xfId="0" applyNumberFormat="1" applyFont="1" applyAlignment="1">
      <alignment vertical="center"/>
    </xf>
    <xf numFmtId="169" fontId="36" fillId="0" borderId="2" xfId="0" applyNumberFormat="1" applyFont="1" applyBorder="1" applyAlignment="1">
      <alignment horizontal="right" vertical="center"/>
    </xf>
    <xf numFmtId="169" fontId="36" fillId="0" borderId="4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indent="2"/>
    </xf>
    <xf numFmtId="169" fontId="36" fillId="0" borderId="6" xfId="0" applyNumberFormat="1" applyFont="1" applyBorder="1" applyAlignment="1">
      <alignment horizontal="right" vertical="center"/>
    </xf>
    <xf numFmtId="169" fontId="36" fillId="0" borderId="9" xfId="0" applyNumberFormat="1" applyFont="1" applyBorder="1" applyAlignment="1">
      <alignment horizontal="right" vertical="center"/>
    </xf>
    <xf numFmtId="169" fontId="36" fillId="0" borderId="10" xfId="0" applyNumberFormat="1" applyFont="1" applyBorder="1" applyAlignment="1">
      <alignment horizontal="right" vertical="center"/>
    </xf>
    <xf numFmtId="0" fontId="20" fillId="0" borderId="0" xfId="0" applyFont="1" applyAlignment="1">
      <alignment horizontal="left" indent="1"/>
    </xf>
    <xf numFmtId="167" fontId="36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indent="2"/>
    </xf>
    <xf numFmtId="169" fontId="10" fillId="0" borderId="0" xfId="0" applyNumberFormat="1" applyFont="1" applyAlignment="1">
      <alignment horizontal="right"/>
    </xf>
    <xf numFmtId="169" fontId="47" fillId="0" borderId="0" xfId="0" applyNumberFormat="1" applyFont="1" applyAlignment="1">
      <alignment horizontal="right" vertical="center"/>
    </xf>
    <xf numFmtId="169" fontId="48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69" fontId="20" fillId="0" borderId="18" xfId="2" applyNumberFormat="1" applyFont="1" applyFill="1" applyBorder="1" applyAlignment="1">
      <alignment horizontal="right" vertical="center"/>
    </xf>
    <xf numFmtId="169" fontId="20" fillId="0" borderId="19" xfId="2" applyNumberFormat="1" applyFont="1" applyFill="1" applyBorder="1" applyAlignment="1">
      <alignment horizontal="right" vertical="center"/>
    </xf>
    <xf numFmtId="169" fontId="20" fillId="0" borderId="20" xfId="2" applyNumberFormat="1" applyFont="1" applyFill="1" applyBorder="1" applyAlignment="1">
      <alignment horizontal="right" vertical="center"/>
    </xf>
    <xf numFmtId="167" fontId="10" fillId="0" borderId="0" xfId="0" applyNumberFormat="1" applyFont="1"/>
    <xf numFmtId="167" fontId="47" fillId="0" borderId="0" xfId="0" applyNumberFormat="1" applyFont="1" applyAlignment="1">
      <alignment horizontal="right" vertical="center"/>
    </xf>
    <xf numFmtId="167" fontId="48" fillId="0" borderId="0" xfId="0" applyNumberFormat="1" applyFont="1" applyAlignment="1">
      <alignment horizontal="right" vertical="center"/>
    </xf>
    <xf numFmtId="184" fontId="47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76" fontId="33" fillId="0" borderId="13" xfId="0" applyNumberFormat="1" applyFont="1" applyBorder="1" applyAlignment="1">
      <alignment horizontal="right"/>
    </xf>
    <xf numFmtId="176" fontId="33" fillId="0" borderId="2" xfId="0" applyNumberFormat="1" applyFont="1" applyBorder="1" applyAlignment="1">
      <alignment horizontal="right"/>
    </xf>
    <xf numFmtId="175" fontId="33" fillId="0" borderId="2" xfId="0" applyNumberFormat="1" applyFont="1" applyBorder="1" applyAlignment="1">
      <alignment horizontal="right"/>
    </xf>
    <xf numFmtId="165" fontId="31" fillId="0" borderId="2" xfId="0" applyNumberFormat="1" applyFont="1" applyBorder="1" applyAlignment="1">
      <alignment vertical="center"/>
    </xf>
    <xf numFmtId="0" fontId="33" fillId="0" borderId="0" xfId="0" applyFont="1" applyAlignment="1">
      <alignment horizontal="left"/>
    </xf>
    <xf numFmtId="0" fontId="42" fillId="0" borderId="0" xfId="0" applyFont="1" applyAlignment="1">
      <alignment horizontal="left" indent="1"/>
    </xf>
    <xf numFmtId="185" fontId="42" fillId="0" borderId="0" xfId="0" applyNumberFormat="1" applyFont="1"/>
    <xf numFmtId="169" fontId="16" fillId="0" borderId="0" xfId="0" applyNumberFormat="1" applyFont="1" applyAlignment="1">
      <alignment horizontal="right"/>
    </xf>
    <xf numFmtId="169" fontId="36" fillId="0" borderId="0" xfId="0" applyNumberFormat="1" applyFont="1" applyAlignment="1">
      <alignment horizontal="right"/>
    </xf>
    <xf numFmtId="169" fontId="16" fillId="0" borderId="2" xfId="0" applyNumberFormat="1" applyFont="1" applyBorder="1"/>
    <xf numFmtId="169" fontId="36" fillId="0" borderId="2" xfId="0" applyNumberFormat="1" applyFont="1" applyBorder="1"/>
    <xf numFmtId="169" fontId="36" fillId="0" borderId="0" xfId="0" applyNumberFormat="1" applyFont="1"/>
    <xf numFmtId="186" fontId="50" fillId="0" borderId="0" xfId="2" applyNumberFormat="1" applyFont="1" applyFill="1" applyBorder="1" applyAlignment="1">
      <alignment horizontal="right"/>
    </xf>
    <xf numFmtId="185" fontId="51" fillId="0" borderId="0" xfId="0" applyNumberFormat="1" applyFont="1"/>
    <xf numFmtId="169" fontId="36" fillId="0" borderId="4" xfId="0" applyNumberFormat="1" applyFont="1" applyBorder="1"/>
    <xf numFmtId="37" fontId="52" fillId="0" borderId="0" xfId="0" applyNumberFormat="1" applyFont="1" applyAlignment="1">
      <alignment vertical="center"/>
    </xf>
    <xf numFmtId="169" fontId="16" fillId="0" borderId="9" xfId="0" applyNumberFormat="1" applyFont="1" applyBorder="1"/>
    <xf numFmtId="169" fontId="36" fillId="0" borderId="10" xfId="0" applyNumberFormat="1" applyFont="1" applyBorder="1"/>
    <xf numFmtId="0" fontId="54" fillId="2" borderId="0" xfId="0" applyFont="1" applyFill="1" applyAlignment="1">
      <alignment horizontal="right" vertical="center"/>
    </xf>
    <xf numFmtId="174" fontId="42" fillId="0" borderId="2" xfId="2" applyNumberFormat="1" applyFont="1" applyFill="1" applyBorder="1"/>
    <xf numFmtId="0" fontId="42" fillId="0" borderId="2" xfId="0" applyFont="1" applyBorder="1"/>
    <xf numFmtId="0" fontId="33" fillId="0" borderId="2" xfId="0" applyFont="1" applyBorder="1"/>
    <xf numFmtId="169" fontId="16" fillId="0" borderId="21" xfId="0" applyNumberFormat="1" applyFont="1" applyBorder="1" applyAlignment="1">
      <alignment vertical="center"/>
    </xf>
    <xf numFmtId="173" fontId="36" fillId="0" borderId="0" xfId="0" applyNumberFormat="1" applyFont="1" applyAlignment="1">
      <alignment horizontal="right"/>
    </xf>
    <xf numFmtId="169" fontId="20" fillId="0" borderId="0" xfId="0" applyNumberFormat="1" applyFont="1"/>
    <xf numFmtId="169" fontId="33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49" fontId="33" fillId="0" borderId="0" xfId="0" applyNumberFormat="1" applyFont="1" applyAlignment="1">
      <alignment horizontal="left"/>
    </xf>
    <xf numFmtId="175" fontId="33" fillId="0" borderId="14" xfId="0" applyNumberFormat="1" applyFont="1" applyBorder="1" applyAlignment="1">
      <alignment horizontal="right"/>
    </xf>
    <xf numFmtId="167" fontId="16" fillId="0" borderId="0" xfId="2" applyNumberFormat="1" applyFont="1" applyFill="1" applyBorder="1" applyAlignment="1">
      <alignment horizontal="right"/>
    </xf>
    <xf numFmtId="0" fontId="33" fillId="0" borderId="0" xfId="0" applyFont="1"/>
    <xf numFmtId="169" fontId="42" fillId="0" borderId="0" xfId="0" applyNumberFormat="1" applyFont="1"/>
    <xf numFmtId="173" fontId="16" fillId="0" borderId="0" xfId="0" applyNumberFormat="1" applyFont="1"/>
    <xf numFmtId="37" fontId="32" fillId="0" borderId="0" xfId="0" applyNumberFormat="1" applyFont="1" applyAlignment="1">
      <alignment horizontal="centerContinuous" vertical="center"/>
    </xf>
    <xf numFmtId="176" fontId="33" fillId="0" borderId="0" xfId="0" applyNumberFormat="1" applyFont="1" applyAlignment="1">
      <alignment horizontal="centerContinuous"/>
    </xf>
    <xf numFmtId="0" fontId="33" fillId="0" borderId="0" xfId="0" applyFont="1" applyAlignment="1">
      <alignment horizontal="centerContinuous"/>
    </xf>
    <xf numFmtId="179" fontId="16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1" fillId="0" borderId="0" xfId="0" applyFont="1" applyAlignment="1">
      <alignment horizontal="right" vertical="center"/>
    </xf>
    <xf numFmtId="172" fontId="55" fillId="0" borderId="0" xfId="2" applyNumberFormat="1" applyFont="1" applyBorder="1" applyAlignment="1">
      <alignment horizontal="right"/>
    </xf>
    <xf numFmtId="175" fontId="33" fillId="0" borderId="0" xfId="0" applyNumberFormat="1" applyFont="1" applyAlignment="1">
      <alignment horizontal="left"/>
    </xf>
    <xf numFmtId="189" fontId="33" fillId="0" borderId="0" xfId="0" applyNumberFormat="1" applyFont="1" applyAlignment="1">
      <alignment horizontal="right"/>
    </xf>
    <xf numFmtId="49" fontId="42" fillId="0" borderId="0" xfId="0" applyNumberFormat="1" applyFont="1" applyAlignment="1">
      <alignment horizontal="left"/>
    </xf>
    <xf numFmtId="9" fontId="33" fillId="0" borderId="0" xfId="2" applyFont="1" applyBorder="1" applyAlignment="1">
      <alignment horizontal="right"/>
    </xf>
    <xf numFmtId="0" fontId="49" fillId="0" borderId="0" xfId="0" applyFont="1" applyAlignment="1">
      <alignment horizontal="center"/>
    </xf>
    <xf numFmtId="0" fontId="16" fillId="0" borderId="2" xfId="0" applyFont="1" applyBorder="1"/>
    <xf numFmtId="171" fontId="42" fillId="0" borderId="0" xfId="0" applyNumberFormat="1" applyFont="1"/>
    <xf numFmtId="169" fontId="20" fillId="0" borderId="21" xfId="0" applyNumberFormat="1" applyFont="1" applyBorder="1" applyAlignment="1">
      <alignment vertical="center"/>
    </xf>
    <xf numFmtId="0" fontId="33" fillId="0" borderId="0" xfId="0" applyFont="1" applyAlignment="1">
      <alignment horizontal="left" indent="1"/>
    </xf>
    <xf numFmtId="171" fontId="47" fillId="0" borderId="0" xfId="0" applyNumberFormat="1" applyFont="1"/>
    <xf numFmtId="38" fontId="42" fillId="0" borderId="0" xfId="0" applyNumberFormat="1" applyFont="1"/>
    <xf numFmtId="40" fontId="42" fillId="0" borderId="0" xfId="0" applyNumberFormat="1" applyFont="1"/>
    <xf numFmtId="0" fontId="31" fillId="0" borderId="0" xfId="0" applyFont="1" applyAlignment="1">
      <alignment horizontal="center"/>
    </xf>
    <xf numFmtId="185" fontId="33" fillId="0" borderId="2" xfId="0" applyNumberFormat="1" applyFont="1" applyBorder="1"/>
    <xf numFmtId="0" fontId="56" fillId="0" borderId="0" xfId="0" applyFont="1"/>
    <xf numFmtId="185" fontId="33" fillId="0" borderId="0" xfId="0" applyNumberFormat="1" applyFont="1"/>
    <xf numFmtId="169" fontId="33" fillId="0" borderId="21" xfId="0" applyNumberFormat="1" applyFont="1" applyBorder="1" applyAlignment="1">
      <alignment horizontal="right" vertical="center"/>
    </xf>
    <xf numFmtId="169" fontId="42" fillId="0" borderId="1" xfId="0" applyNumberFormat="1" applyFont="1" applyBorder="1" applyAlignment="1">
      <alignment horizontal="right"/>
    </xf>
    <xf numFmtId="169" fontId="36" fillId="0" borderId="1" xfId="0" applyNumberFormat="1" applyFont="1" applyBorder="1" applyAlignment="1">
      <alignment horizontal="right"/>
    </xf>
    <xf numFmtId="169" fontId="42" fillId="0" borderId="2" xfId="0" applyNumberFormat="1" applyFont="1" applyBorder="1" applyAlignment="1">
      <alignment horizontal="right"/>
    </xf>
    <xf numFmtId="169" fontId="33" fillId="0" borderId="0" xfId="2" applyNumberFormat="1" applyFont="1" applyFill="1" applyAlignment="1">
      <alignment horizontal="right"/>
    </xf>
    <xf numFmtId="169" fontId="57" fillId="0" borderId="0" xfId="2" applyNumberFormat="1" applyFont="1" applyFill="1" applyAlignment="1">
      <alignment horizontal="right"/>
    </xf>
    <xf numFmtId="167" fontId="36" fillId="0" borderId="0" xfId="0" applyNumberFormat="1" applyFont="1"/>
    <xf numFmtId="174" fontId="36" fillId="0" borderId="2" xfId="2" applyNumberFormat="1" applyFont="1" applyFill="1" applyBorder="1"/>
    <xf numFmtId="0" fontId="49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171" fontId="16" fillId="0" borderId="2" xfId="0" applyNumberFormat="1" applyFont="1" applyBorder="1"/>
    <xf numFmtId="0" fontId="19" fillId="0" borderId="0" xfId="0" applyFont="1" applyAlignment="1">
      <alignment horizontal="left"/>
    </xf>
    <xf numFmtId="171" fontId="58" fillId="0" borderId="0" xfId="0" applyNumberFormat="1" applyFont="1" applyAlignment="1">
      <alignment horizontal="centerContinuous"/>
    </xf>
    <xf numFmtId="169" fontId="16" fillId="0" borderId="22" xfId="0" applyNumberFormat="1" applyFont="1" applyBorder="1" applyAlignment="1">
      <alignment vertical="center"/>
    </xf>
    <xf numFmtId="191" fontId="59" fillId="0" borderId="0" xfId="6" applyNumberFormat="1" applyFont="1" applyAlignment="1" applyProtection="1">
      <alignment horizontal="center"/>
      <protection locked="0"/>
    </xf>
    <xf numFmtId="177" fontId="59" fillId="0" borderId="0" xfId="6" applyNumberFormat="1" applyFont="1" applyProtection="1">
      <protection locked="0"/>
    </xf>
    <xf numFmtId="177" fontId="60" fillId="0" borderId="0" xfId="6" applyNumberFormat="1" applyFont="1" applyAlignment="1" applyProtection="1">
      <protection locked="0"/>
    </xf>
    <xf numFmtId="177" fontId="60" fillId="0" borderId="0" xfId="6" applyNumberFormat="1" applyFont="1" applyAlignment="1" applyProtection="1">
      <alignment horizontal="center"/>
      <protection locked="0"/>
    </xf>
    <xf numFmtId="0" fontId="24" fillId="3" borderId="0" xfId="0" applyFont="1" applyFill="1"/>
    <xf numFmtId="0" fontId="24" fillId="4" borderId="0" xfId="0" applyFont="1" applyFill="1"/>
    <xf numFmtId="0" fontId="7" fillId="3" borderId="0" xfId="0" applyFont="1" applyFill="1"/>
    <xf numFmtId="0" fontId="38" fillId="4" borderId="0" xfId="4" applyFont="1" applyFill="1" applyAlignment="1">
      <alignment horizontal="center" vertical="center"/>
    </xf>
    <xf numFmtId="0" fontId="63" fillId="0" borderId="0" xfId="0" applyFont="1"/>
    <xf numFmtId="0" fontId="62" fillId="0" borderId="0" xfId="0" applyFont="1"/>
    <xf numFmtId="177" fontId="41" fillId="0" borderId="0" xfId="6" applyNumberFormat="1" applyFont="1" applyBorder="1" applyProtection="1">
      <protection locked="0"/>
    </xf>
    <xf numFmtId="177" fontId="41" fillId="0" borderId="0" xfId="6" applyNumberFormat="1" applyFont="1" applyBorder="1" applyAlignment="1" applyProtection="1">
      <alignment horizontal="center"/>
      <protection locked="0"/>
    </xf>
    <xf numFmtId="177" fontId="41" fillId="0" borderId="0" xfId="6" applyNumberFormat="1" applyFont="1" applyBorder="1" applyAlignment="1" applyProtection="1">
      <alignment horizontal="right"/>
      <protection locked="0"/>
    </xf>
    <xf numFmtId="0" fontId="36" fillId="0" borderId="0" xfId="0" applyFont="1" applyAlignment="1">
      <alignment horizontal="right" vertical="center"/>
    </xf>
    <xf numFmtId="177" fontId="66" fillId="0" borderId="0" xfId="6" applyNumberFormat="1" applyFont="1" applyFill="1" applyProtection="1">
      <protection locked="0"/>
    </xf>
    <xf numFmtId="37" fontId="67" fillId="0" borderId="0" xfId="0" applyNumberFormat="1" applyFont="1" applyAlignment="1">
      <alignment vertical="center"/>
    </xf>
    <xf numFmtId="0" fontId="66" fillId="0" borderId="0" xfId="0" applyFont="1"/>
    <xf numFmtId="190" fontId="16" fillId="0" borderId="0" xfId="0" applyNumberFormat="1" applyFont="1"/>
    <xf numFmtId="190" fontId="16" fillId="0" borderId="0" xfId="0" applyNumberFormat="1" applyFont="1" applyAlignment="1">
      <alignment horizontal="right"/>
    </xf>
    <xf numFmtId="190" fontId="16" fillId="0" borderId="23" xfId="0" applyNumberFormat="1" applyFont="1" applyBorder="1"/>
    <xf numFmtId="9" fontId="16" fillId="0" borderId="0" xfId="2" applyFont="1"/>
    <xf numFmtId="9" fontId="16" fillId="0" borderId="9" xfId="2" applyFont="1" applyBorder="1"/>
    <xf numFmtId="9" fontId="70" fillId="0" borderId="0" xfId="2" applyFont="1" applyAlignment="1">
      <alignment horizontal="center"/>
    </xf>
    <xf numFmtId="190" fontId="36" fillId="0" borderId="0" xfId="0" applyNumberFormat="1" applyFont="1"/>
    <xf numFmtId="9" fontId="16" fillId="0" borderId="0" xfId="2" applyFont="1" applyBorder="1"/>
    <xf numFmtId="0" fontId="54" fillId="0" borderId="0" xfId="0" applyFont="1" applyAlignment="1">
      <alignment horizontal="right" vertical="center"/>
    </xf>
    <xf numFmtId="0" fontId="66" fillId="0" borderId="0" xfId="0" applyFont="1" applyAlignment="1">
      <alignment horizontal="centerContinuous"/>
    </xf>
    <xf numFmtId="188" fontId="16" fillId="0" borderId="0" xfId="0" applyNumberFormat="1" applyFont="1"/>
    <xf numFmtId="172" fontId="16" fillId="0" borderId="9" xfId="0" applyNumberFormat="1" applyFont="1" applyBorder="1"/>
    <xf numFmtId="176" fontId="33" fillId="5" borderId="13" xfId="0" applyNumberFormat="1" applyFont="1" applyFill="1" applyBorder="1" applyAlignment="1">
      <alignment horizontal="right"/>
    </xf>
    <xf numFmtId="176" fontId="33" fillId="6" borderId="13" xfId="0" applyNumberFormat="1" applyFont="1" applyFill="1" applyBorder="1" applyAlignment="1">
      <alignment horizontal="right"/>
    </xf>
    <xf numFmtId="0" fontId="65" fillId="0" borderId="0" xfId="0" applyFont="1" applyAlignment="1">
      <alignment horizontal="left"/>
    </xf>
    <xf numFmtId="177" fontId="40" fillId="0" borderId="0" xfId="6" applyNumberFormat="1" applyFont="1" applyAlignment="1">
      <alignment horizontal="right"/>
    </xf>
    <xf numFmtId="193" fontId="64" fillId="0" borderId="0" xfId="1" applyNumberFormat="1" applyFont="1" applyBorder="1" applyAlignment="1">
      <alignment horizontal="right" vertical="center"/>
    </xf>
    <xf numFmtId="193" fontId="16" fillId="0" borderId="0" xfId="0" applyNumberFormat="1" applyFont="1" applyAlignment="1">
      <alignment vertical="center"/>
    </xf>
    <xf numFmtId="190" fontId="16" fillId="0" borderId="24" xfId="0" applyNumberFormat="1" applyFont="1" applyBorder="1" applyAlignment="1">
      <alignment horizontal="right"/>
    </xf>
    <xf numFmtId="190" fontId="16" fillId="0" borderId="25" xfId="0" applyNumberFormat="1" applyFont="1" applyBorder="1"/>
    <xf numFmtId="9" fontId="16" fillId="0" borderId="24" xfId="2" applyFont="1" applyBorder="1"/>
    <xf numFmtId="9" fontId="16" fillId="0" borderId="26" xfId="2" applyFont="1" applyBorder="1"/>
    <xf numFmtId="172" fontId="16" fillId="0" borderId="24" xfId="0" applyNumberFormat="1" applyFont="1" applyBorder="1"/>
    <xf numFmtId="172" fontId="16" fillId="0" borderId="26" xfId="0" applyNumberFormat="1" applyFont="1" applyBorder="1"/>
    <xf numFmtId="169" fontId="16" fillId="0" borderId="24" xfId="0" applyNumberFormat="1" applyFont="1" applyBorder="1"/>
    <xf numFmtId="169" fontId="16" fillId="0" borderId="27" xfId="0" applyNumberFormat="1" applyFont="1" applyBorder="1" applyAlignment="1">
      <alignment vertical="center"/>
    </xf>
    <xf numFmtId="173" fontId="16" fillId="0" borderId="24" xfId="0" applyNumberFormat="1" applyFont="1" applyBorder="1"/>
    <xf numFmtId="9" fontId="42" fillId="0" borderId="0" xfId="2" applyFont="1" applyBorder="1" applyAlignment="1">
      <alignment horizontal="right" vertical="center"/>
    </xf>
    <xf numFmtId="169" fontId="16" fillId="0" borderId="23" xfId="0" applyNumberFormat="1" applyFont="1" applyBorder="1"/>
    <xf numFmtId="0" fontId="71" fillId="0" borderId="0" xfId="0" applyFont="1" applyAlignment="1">
      <alignment horizontal="left" indent="1"/>
    </xf>
    <xf numFmtId="0" fontId="72" fillId="0" borderId="0" xfId="0" applyFont="1"/>
    <xf numFmtId="0" fontId="73" fillId="0" borderId="0" xfId="0" applyFont="1"/>
    <xf numFmtId="0" fontId="69" fillId="0" borderId="0" xfId="0" applyFont="1"/>
    <xf numFmtId="9" fontId="69" fillId="0" borderId="0" xfId="2" applyFont="1" applyFill="1" applyAlignment="1">
      <alignment horizontal="right"/>
    </xf>
    <xf numFmtId="9" fontId="16" fillId="0" borderId="2" xfId="2" applyFont="1" applyBorder="1"/>
    <xf numFmtId="169" fontId="42" fillId="0" borderId="24" xfId="0" applyNumberFormat="1" applyFont="1" applyBorder="1" applyAlignment="1">
      <alignment horizontal="right"/>
    </xf>
    <xf numFmtId="169" fontId="42" fillId="0" borderId="28" xfId="0" applyNumberFormat="1" applyFont="1" applyBorder="1" applyAlignment="1">
      <alignment horizontal="right"/>
    </xf>
    <xf numFmtId="169" fontId="33" fillId="0" borderId="24" xfId="0" applyNumberFormat="1" applyFont="1" applyBorder="1" applyAlignment="1">
      <alignment horizontal="right"/>
    </xf>
    <xf numFmtId="169" fontId="33" fillId="0" borderId="29" xfId="0" applyNumberFormat="1" applyFont="1" applyBorder="1" applyAlignment="1">
      <alignment horizontal="right" vertical="center"/>
    </xf>
    <xf numFmtId="0" fontId="38" fillId="4" borderId="0" xfId="4" applyFont="1" applyFill="1" applyBorder="1" applyAlignment="1">
      <alignment horizontal="center" vertical="center"/>
    </xf>
    <xf numFmtId="0" fontId="7" fillId="0" borderId="0" xfId="3" applyFont="1"/>
    <xf numFmtId="0" fontId="15" fillId="0" borderId="0" xfId="3" applyFont="1" applyProtection="1">
      <protection locked="0"/>
    </xf>
    <xf numFmtId="0" fontId="1" fillId="0" borderId="0" xfId="3" applyFont="1"/>
    <xf numFmtId="0" fontId="15" fillId="0" borderId="0" xfId="3" applyFont="1" applyAlignment="1" applyProtection="1">
      <alignment horizontal="left"/>
      <protection locked="0"/>
    </xf>
    <xf numFmtId="0" fontId="1" fillId="0" borderId="0" xfId="3" applyFont="1" applyAlignment="1">
      <alignment horizontal="centerContinuous"/>
    </xf>
    <xf numFmtId="0" fontId="7" fillId="0" borderId="0" xfId="3" applyFont="1" applyAlignment="1">
      <alignment horizontal="centerContinuous"/>
    </xf>
    <xf numFmtId="0" fontId="15" fillId="0" borderId="0" xfId="3" applyFont="1" applyAlignment="1" applyProtection="1">
      <alignment horizontal="centerContinuous"/>
      <protection locked="0"/>
    </xf>
    <xf numFmtId="165" fontId="10" fillId="0" borderId="0" xfId="3" applyNumberFormat="1" applyFont="1"/>
    <xf numFmtId="0" fontId="74" fillId="3" borderId="0" xfId="0" applyFont="1" applyFill="1" applyAlignment="1">
      <alignment horizontal="left" vertical="center"/>
    </xf>
    <xf numFmtId="0" fontId="75" fillId="4" borderId="0" xfId="0" applyFont="1" applyFill="1" applyAlignment="1">
      <alignment horizontal="left" vertical="center"/>
    </xf>
    <xf numFmtId="9" fontId="42" fillId="0" borderId="0" xfId="2" applyFont="1"/>
    <xf numFmtId="194" fontId="64" fillId="0" borderId="0" xfId="1" applyNumberFormat="1" applyFont="1" applyBorder="1" applyAlignment="1">
      <alignment horizontal="right" vertical="center"/>
    </xf>
    <xf numFmtId="169" fontId="16" fillId="0" borderId="30" xfId="0" applyNumberFormat="1" applyFont="1" applyBorder="1"/>
    <xf numFmtId="169" fontId="16" fillId="0" borderId="31" xfId="0" applyNumberFormat="1" applyFont="1" applyBorder="1"/>
    <xf numFmtId="169" fontId="69" fillId="0" borderId="0" xfId="2" applyNumberFormat="1" applyFont="1" applyFill="1" applyAlignment="1">
      <alignment horizontal="right"/>
    </xf>
    <xf numFmtId="194" fontId="42" fillId="0" borderId="0" xfId="1" applyNumberFormat="1" applyFont="1" applyBorder="1" applyAlignment="1">
      <alignment horizontal="right" vertical="center"/>
    </xf>
    <xf numFmtId="193" fontId="64" fillId="0" borderId="0" xfId="0" applyNumberFormat="1" applyFont="1" applyAlignment="1">
      <alignment horizontal="right" vertical="center"/>
    </xf>
    <xf numFmtId="192" fontId="42" fillId="0" borderId="0" xfId="0" applyNumberFormat="1" applyFont="1" applyAlignment="1">
      <alignment horizontal="right" vertical="center"/>
    </xf>
    <xf numFmtId="177" fontId="41" fillId="0" borderId="0" xfId="6" applyNumberFormat="1" applyFont="1" applyBorder="1" applyAlignment="1">
      <alignment horizontal="right"/>
    </xf>
    <xf numFmtId="193" fontId="36" fillId="0" borderId="0" xfId="0" applyNumberFormat="1" applyFont="1" applyAlignment="1">
      <alignment horizontal="right" vertical="center"/>
    </xf>
    <xf numFmtId="193" fontId="42" fillId="0" borderId="0" xfId="0" applyNumberFormat="1" applyFont="1" applyAlignment="1">
      <alignment horizontal="right" vertical="center"/>
    </xf>
    <xf numFmtId="9" fontId="42" fillId="0" borderId="0" xfId="2" applyFont="1" applyBorder="1"/>
    <xf numFmtId="0" fontId="20" fillId="0" borderId="32" xfId="0" applyFont="1" applyBorder="1" applyAlignment="1">
      <alignment horizontal="left"/>
    </xf>
    <xf numFmtId="0" fontId="7" fillId="0" borderId="32" xfId="0" applyFont="1" applyBorder="1"/>
    <xf numFmtId="37" fontId="3" fillId="0" borderId="32" xfId="0" applyNumberFormat="1" applyFont="1" applyBorder="1" applyAlignment="1">
      <alignment vertical="center"/>
    </xf>
    <xf numFmtId="172" fontId="42" fillId="0" borderId="0" xfId="2" applyNumberFormat="1" applyFont="1" applyFill="1" applyBorder="1" applyAlignment="1">
      <alignment horizontal="right"/>
    </xf>
    <xf numFmtId="0" fontId="16" fillId="0" borderId="17" xfId="0" applyFont="1" applyBorder="1" applyAlignment="1">
      <alignment horizontal="left"/>
    </xf>
    <xf numFmtId="174" fontId="16" fillId="0" borderId="16" xfId="2" applyNumberFormat="1" applyFont="1" applyFill="1" applyBorder="1" applyAlignment="1"/>
    <xf numFmtId="169" fontId="36" fillId="0" borderId="9" xfId="0" applyNumberFormat="1" applyFont="1" applyBorder="1"/>
    <xf numFmtId="169" fontId="36" fillId="0" borderId="6" xfId="0" applyNumberFormat="1" applyFont="1" applyBorder="1"/>
    <xf numFmtId="174" fontId="32" fillId="0" borderId="0" xfId="2" applyNumberFormat="1" applyFont="1" applyAlignment="1">
      <alignment vertical="center"/>
    </xf>
    <xf numFmtId="0" fontId="53" fillId="0" borderId="0" xfId="0" applyFont="1" applyAlignment="1">
      <alignment horizontal="center"/>
    </xf>
    <xf numFmtId="187" fontId="16" fillId="0" borderId="25" xfId="0" applyNumberFormat="1" applyFont="1" applyBorder="1"/>
    <xf numFmtId="187" fontId="16" fillId="0" borderId="23" xfId="0" applyNumberFormat="1" applyFont="1" applyBorder="1"/>
    <xf numFmtId="187" fontId="16" fillId="0" borderId="33" xfId="0" applyNumberFormat="1" applyFont="1" applyBorder="1"/>
    <xf numFmtId="171" fontId="16" fillId="0" borderId="31" xfId="0" applyNumberFormat="1" applyFont="1" applyBorder="1"/>
    <xf numFmtId="171" fontId="16" fillId="0" borderId="30" xfId="0" applyNumberFormat="1" applyFont="1" applyBorder="1"/>
    <xf numFmtId="171" fontId="16" fillId="0" borderId="34" xfId="0" applyNumberFormat="1" applyFont="1" applyBorder="1"/>
    <xf numFmtId="9" fontId="16" fillId="0" borderId="0" xfId="0" applyNumberFormat="1" applyFont="1" applyAlignment="1">
      <alignment horizontal="left" indent="1"/>
    </xf>
    <xf numFmtId="175" fontId="33" fillId="0" borderId="13" xfId="0" applyNumberFormat="1" applyFont="1" applyBorder="1" applyAlignment="1">
      <alignment horizontal="right"/>
    </xf>
    <xf numFmtId="9" fontId="36" fillId="0" borderId="23" xfId="0" applyNumberFormat="1" applyFont="1" applyBorder="1" applyAlignment="1">
      <alignment vertical="center"/>
    </xf>
    <xf numFmtId="9" fontId="36" fillId="0" borderId="0" xfId="0" applyNumberFormat="1" applyFont="1" applyAlignment="1">
      <alignment vertical="center"/>
    </xf>
    <xf numFmtId="9" fontId="36" fillId="0" borderId="30" xfId="0" applyNumberFormat="1" applyFont="1" applyBorder="1" applyAlignment="1">
      <alignment vertical="center"/>
    </xf>
    <xf numFmtId="164" fontId="1" fillId="0" borderId="25" xfId="1" applyFont="1" applyBorder="1" applyAlignment="1">
      <alignment vertical="center"/>
    </xf>
    <xf numFmtId="164" fontId="42" fillId="0" borderId="23" xfId="1" applyFont="1" applyBorder="1" applyAlignment="1">
      <alignment horizontal="right" vertical="center"/>
    </xf>
    <xf numFmtId="164" fontId="1" fillId="0" borderId="24" xfId="1" applyFont="1" applyBorder="1" applyAlignment="1">
      <alignment vertical="center"/>
    </xf>
    <xf numFmtId="164" fontId="42" fillId="0" borderId="0" xfId="1" applyFont="1" applyBorder="1" applyAlignment="1">
      <alignment horizontal="right" vertical="center"/>
    </xf>
    <xf numFmtId="164" fontId="1" fillId="0" borderId="31" xfId="1" applyFont="1" applyBorder="1" applyAlignment="1">
      <alignment vertical="center"/>
    </xf>
    <xf numFmtId="164" fontId="42" fillId="0" borderId="30" xfId="1" applyFont="1" applyBorder="1" applyAlignment="1">
      <alignment horizontal="right" vertical="center"/>
    </xf>
    <xf numFmtId="0" fontId="42" fillId="0" borderId="17" xfId="0" applyFont="1" applyBorder="1" applyAlignment="1">
      <alignment horizontal="left"/>
    </xf>
    <xf numFmtId="167" fontId="16" fillId="0" borderId="16" xfId="2" applyNumberFormat="1" applyFont="1" applyFill="1" applyBorder="1" applyAlignment="1">
      <alignment horizontal="right"/>
    </xf>
    <xf numFmtId="37" fontId="45" fillId="0" borderId="0" xfId="7" applyNumberFormat="1" applyFont="1" applyAlignment="1">
      <alignment vertical="center"/>
    </xf>
    <xf numFmtId="37" fontId="3" fillId="0" borderId="0" xfId="7" applyNumberFormat="1" applyFont="1" applyAlignment="1">
      <alignment vertical="center"/>
    </xf>
    <xf numFmtId="37" fontId="6" fillId="0" borderId="0" xfId="7" applyNumberFormat="1" applyFont="1" applyAlignment="1">
      <alignment vertical="center"/>
    </xf>
    <xf numFmtId="175" fontId="33" fillId="0" borderId="0" xfId="7" applyNumberFormat="1" applyFont="1" applyAlignment="1">
      <alignment horizontal="right"/>
    </xf>
    <xf numFmtId="177" fontId="42" fillId="0" borderId="0" xfId="8" applyNumberFormat="1" applyFont="1" applyBorder="1" applyProtection="1">
      <protection locked="0"/>
    </xf>
    <xf numFmtId="177" fontId="42" fillId="0" borderId="0" xfId="8" applyNumberFormat="1" applyFont="1" applyBorder="1" applyAlignment="1" applyProtection="1">
      <alignment horizontal="center"/>
      <protection locked="0"/>
    </xf>
    <xf numFmtId="169" fontId="42" fillId="0" borderId="0" xfId="8" applyNumberFormat="1" applyFont="1" applyBorder="1" applyProtection="1">
      <protection locked="0"/>
    </xf>
    <xf numFmtId="169" fontId="42" fillId="0" borderId="0" xfId="8" applyNumberFormat="1" applyFont="1" applyFill="1" applyBorder="1" applyProtection="1">
      <protection locked="0"/>
    </xf>
    <xf numFmtId="179" fontId="42" fillId="0" borderId="0" xfId="8" applyNumberFormat="1" applyFont="1" applyFill="1" applyBorder="1" applyProtection="1">
      <protection locked="0"/>
    </xf>
    <xf numFmtId="177" fontId="33" fillId="0" borderId="0" xfId="8" applyNumberFormat="1" applyFont="1" applyFill="1" applyBorder="1" applyProtection="1">
      <protection locked="0"/>
    </xf>
    <xf numFmtId="177" fontId="42" fillId="0" borderId="0" xfId="8" applyNumberFormat="1" applyFont="1" applyFill="1" applyBorder="1" applyProtection="1">
      <protection locked="0"/>
    </xf>
    <xf numFmtId="169" fontId="42" fillId="0" borderId="0" xfId="8" applyNumberFormat="1" applyFont="1" applyFill="1" applyProtection="1">
      <protection locked="0"/>
    </xf>
    <xf numFmtId="177" fontId="48" fillId="0" borderId="0" xfId="8" applyNumberFormat="1" applyFont="1" applyFill="1" applyBorder="1" applyProtection="1">
      <protection locked="0"/>
    </xf>
    <xf numFmtId="177" fontId="33" fillId="0" borderId="0" xfId="8" applyNumberFormat="1" applyFont="1" applyBorder="1" applyProtection="1">
      <protection locked="0"/>
    </xf>
    <xf numFmtId="177" fontId="42" fillId="0" borderId="0" xfId="8" applyNumberFormat="1" applyFont="1" applyFill="1" applyBorder="1" applyAlignment="1" applyProtection="1">
      <alignment horizontal="center"/>
      <protection locked="0"/>
    </xf>
    <xf numFmtId="171" fontId="16" fillId="0" borderId="24" xfId="0" applyNumberFormat="1" applyFont="1" applyBorder="1"/>
    <xf numFmtId="171" fontId="16" fillId="0" borderId="35" xfId="0" applyNumberFormat="1" applyFont="1" applyBorder="1"/>
    <xf numFmtId="0" fontId="42" fillId="0" borderId="0" xfId="7" applyFont="1"/>
    <xf numFmtId="179" fontId="42" fillId="0" borderId="0" xfId="8" applyNumberFormat="1" applyFont="1" applyFill="1" applyProtection="1">
      <protection locked="0"/>
    </xf>
    <xf numFmtId="0" fontId="42" fillId="0" borderId="0" xfId="8" applyNumberFormat="1" applyFont="1" applyFill="1" applyAlignment="1" applyProtection="1">
      <alignment horizontal="left" indent="1"/>
      <protection locked="0"/>
    </xf>
    <xf numFmtId="169" fontId="42" fillId="0" borderId="0" xfId="7" applyNumberFormat="1" applyFont="1"/>
    <xf numFmtId="177" fontId="42" fillId="0" borderId="0" xfId="8" applyNumberFormat="1" applyFont="1" applyFill="1" applyProtection="1">
      <protection locked="0"/>
    </xf>
    <xf numFmtId="0" fontId="33" fillId="0" borderId="0" xfId="8" applyNumberFormat="1" applyFont="1" applyBorder="1" applyAlignment="1" applyProtection="1">
      <alignment horizontal="left" indent="1"/>
      <protection locked="0"/>
    </xf>
    <xf numFmtId="0" fontId="42" fillId="0" borderId="0" xfId="8" applyNumberFormat="1" applyFont="1" applyBorder="1" applyAlignment="1" applyProtection="1">
      <alignment horizontal="left" indent="1"/>
      <protection locked="0"/>
    </xf>
    <xf numFmtId="196" fontId="16" fillId="0" borderId="0" xfId="9" applyNumberFormat="1" applyFont="1" applyFill="1" applyBorder="1" applyAlignment="1" applyProtection="1">
      <alignment horizontal="right"/>
      <protection locked="0"/>
    </xf>
    <xf numFmtId="169" fontId="20" fillId="0" borderId="0" xfId="8" applyNumberFormat="1" applyFont="1" applyFill="1" applyBorder="1" applyProtection="1">
      <protection locked="0"/>
    </xf>
    <xf numFmtId="0" fontId="20" fillId="0" borderId="12" xfId="0" applyFont="1" applyBorder="1" applyAlignment="1">
      <alignment horizontal="left"/>
    </xf>
    <xf numFmtId="0" fontId="42" fillId="0" borderId="0" xfId="8" applyNumberFormat="1" applyFont="1" applyFill="1" applyBorder="1" applyAlignment="1" applyProtection="1">
      <alignment horizontal="left" indent="1"/>
      <protection locked="0"/>
    </xf>
    <xf numFmtId="0" fontId="16" fillId="0" borderId="0" xfId="8" applyNumberFormat="1" applyFont="1" applyAlignment="1" applyProtection="1">
      <alignment horizontal="left" indent="4"/>
      <protection locked="0"/>
    </xf>
    <xf numFmtId="0" fontId="16" fillId="0" borderId="0" xfId="8" applyNumberFormat="1" applyFont="1" applyAlignment="1" applyProtection="1">
      <alignment horizontal="left" indent="6"/>
      <protection locked="0"/>
    </xf>
    <xf numFmtId="196" fontId="42" fillId="0" borderId="0" xfId="9" applyNumberFormat="1" applyFont="1" applyFill="1" applyBorder="1" applyAlignment="1" applyProtection="1">
      <alignment horizontal="right"/>
      <protection locked="0"/>
    </xf>
    <xf numFmtId="194" fontId="77" fillId="0" borderId="0" xfId="1" applyNumberFormat="1" applyFont="1" applyBorder="1" applyAlignment="1">
      <alignment horizontal="right" vertical="center"/>
    </xf>
    <xf numFmtId="9" fontId="42" fillId="0" borderId="0" xfId="7" applyNumberFormat="1" applyFont="1"/>
    <xf numFmtId="0" fontId="42" fillId="0" borderId="30" xfId="7" applyFont="1" applyBorder="1"/>
    <xf numFmtId="9" fontId="42" fillId="0" borderId="30" xfId="2" applyFont="1" applyBorder="1"/>
    <xf numFmtId="194" fontId="42" fillId="0" borderId="30" xfId="1" applyNumberFormat="1" applyFont="1" applyBorder="1" applyAlignment="1">
      <alignment horizontal="right" vertical="center"/>
    </xf>
    <xf numFmtId="179" fontId="42" fillId="0" borderId="30" xfId="8" applyNumberFormat="1" applyFont="1" applyFill="1" applyBorder="1" applyProtection="1">
      <protection locked="0"/>
    </xf>
    <xf numFmtId="0" fontId="42" fillId="0" borderId="30" xfId="8" applyNumberFormat="1" applyFont="1" applyFill="1" applyBorder="1" applyAlignment="1" applyProtection="1">
      <alignment horizontal="left" indent="1"/>
      <protection locked="0"/>
    </xf>
    <xf numFmtId="177" fontId="42" fillId="0" borderId="30" xfId="8" applyNumberFormat="1" applyFont="1" applyFill="1" applyBorder="1" applyProtection="1">
      <protection locked="0"/>
    </xf>
    <xf numFmtId="169" fontId="42" fillId="0" borderId="30" xfId="8" applyNumberFormat="1" applyFont="1" applyFill="1" applyBorder="1" applyProtection="1">
      <protection locked="0"/>
    </xf>
    <xf numFmtId="177" fontId="41" fillId="0" borderId="30" xfId="6" applyNumberFormat="1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9" fontId="42" fillId="0" borderId="0" xfId="2" applyFont="1" applyFill="1" applyBorder="1" applyProtection="1">
      <protection locked="0"/>
    </xf>
    <xf numFmtId="9" fontId="76" fillId="0" borderId="0" xfId="2" applyFont="1" applyFill="1" applyBorder="1" applyProtection="1">
      <protection locked="0"/>
    </xf>
    <xf numFmtId="177" fontId="7" fillId="0" borderId="0" xfId="6" applyNumberFormat="1" applyFont="1" applyBorder="1" applyProtection="1">
      <protection locked="0"/>
    </xf>
    <xf numFmtId="167" fontId="36" fillId="0" borderId="0" xfId="7" applyNumberFormat="1" applyFont="1"/>
    <xf numFmtId="0" fontId="78" fillId="0" borderId="0" xfId="0" applyFont="1" applyAlignment="1">
      <alignment horizontal="right" vertical="center"/>
    </xf>
    <xf numFmtId="164" fontId="1" fillId="0" borderId="23" xfId="1" applyFont="1" applyBorder="1" applyAlignment="1">
      <alignment vertical="center"/>
    </xf>
    <xf numFmtId="164" fontId="1" fillId="0" borderId="30" xfId="1" applyFont="1" applyBorder="1" applyAlignment="1">
      <alignment vertical="center"/>
    </xf>
    <xf numFmtId="169" fontId="20" fillId="0" borderId="0" xfId="2" applyNumberFormat="1" applyFont="1" applyFill="1" applyBorder="1" applyAlignment="1">
      <alignment horizontal="right" vertical="center"/>
    </xf>
    <xf numFmtId="175" fontId="3" fillId="0" borderId="0" xfId="7" applyNumberFormat="1" applyFont="1" applyAlignment="1">
      <alignment horizontal="right"/>
    </xf>
    <xf numFmtId="177" fontId="42" fillId="0" borderId="0" xfId="8" applyNumberFormat="1" applyFont="1" applyBorder="1" applyAlignment="1" applyProtection="1">
      <alignment horizontal="left" indent="1"/>
      <protection locked="0"/>
    </xf>
    <xf numFmtId="9" fontId="68" fillId="0" borderId="0" xfId="2" applyFont="1" applyAlignment="1">
      <alignment horizontal="left"/>
    </xf>
    <xf numFmtId="177" fontId="68" fillId="0" borderId="0" xfId="0" applyNumberFormat="1" applyFont="1" applyAlignment="1">
      <alignment horizontal="center"/>
    </xf>
    <xf numFmtId="177" fontId="68" fillId="0" borderId="30" xfId="0" applyNumberFormat="1" applyFont="1" applyBorder="1" applyAlignment="1">
      <alignment horizontal="center"/>
    </xf>
    <xf numFmtId="178" fontId="42" fillId="0" borderId="0" xfId="8" applyNumberFormat="1" applyFont="1" applyFill="1" applyBorder="1" applyAlignment="1" applyProtection="1">
      <alignment horizontal="right"/>
      <protection locked="0"/>
    </xf>
    <xf numFmtId="9" fontId="42" fillId="0" borderId="36" xfId="2" applyFont="1" applyBorder="1" applyProtection="1">
      <protection locked="0"/>
    </xf>
    <xf numFmtId="174" fontId="68" fillId="0" borderId="0" xfId="2" applyNumberFormat="1" applyFont="1" applyAlignment="1">
      <alignment horizontal="right"/>
    </xf>
    <xf numFmtId="193" fontId="16" fillId="0" borderId="0" xfId="1" applyNumberFormat="1" applyFont="1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center"/>
    </xf>
    <xf numFmtId="0" fontId="42" fillId="0" borderId="0" xfId="7" applyFont="1" applyAlignment="1">
      <alignment horizontal="left" indent="1"/>
    </xf>
    <xf numFmtId="177" fontId="68" fillId="0" borderId="30" xfId="8" applyNumberFormat="1" applyFont="1" applyFill="1" applyBorder="1" applyAlignment="1" applyProtection="1">
      <alignment horizontal="center"/>
      <protection locked="0"/>
    </xf>
    <xf numFmtId="9" fontId="68" fillId="0" borderId="0" xfId="2" applyFont="1" applyFill="1" applyBorder="1" applyAlignment="1" applyProtection="1">
      <alignment horizontal="right"/>
      <protection locked="0"/>
    </xf>
    <xf numFmtId="0" fontId="77" fillId="0" borderId="0" xfId="0" applyFont="1" applyAlignment="1">
      <alignment horizontal="left" indent="1"/>
    </xf>
    <xf numFmtId="9" fontId="68" fillId="0" borderId="30" xfId="2" applyFont="1" applyBorder="1" applyAlignment="1">
      <alignment horizontal="right"/>
    </xf>
    <xf numFmtId="9" fontId="68" fillId="0" borderId="0" xfId="2" applyFont="1" applyBorder="1" applyAlignment="1">
      <alignment horizontal="right"/>
    </xf>
    <xf numFmtId="177" fontId="68" fillId="0" borderId="0" xfId="8" applyNumberFormat="1" applyFont="1" applyFill="1" applyBorder="1" applyProtection="1">
      <protection locked="0"/>
    </xf>
    <xf numFmtId="177" fontId="68" fillId="0" borderId="40" xfId="8" applyNumberFormat="1" applyFont="1" applyFill="1" applyBorder="1" applyProtection="1">
      <protection locked="0"/>
    </xf>
    <xf numFmtId="177" fontId="68" fillId="0" borderId="41" xfId="8" applyNumberFormat="1" applyFont="1" applyFill="1" applyBorder="1" applyProtection="1">
      <protection locked="0"/>
    </xf>
    <xf numFmtId="177" fontId="68" fillId="0" borderId="42" xfId="8" applyNumberFormat="1" applyFont="1" applyFill="1" applyBorder="1" applyProtection="1">
      <protection locked="0"/>
    </xf>
    <xf numFmtId="177" fontId="68" fillId="0" borderId="25" xfId="8" applyNumberFormat="1" applyFont="1" applyFill="1" applyBorder="1" applyProtection="1">
      <protection locked="0"/>
    </xf>
    <xf numFmtId="177" fontId="68" fillId="0" borderId="23" xfId="8" applyNumberFormat="1" applyFont="1" applyFill="1" applyBorder="1" applyProtection="1">
      <protection locked="0"/>
    </xf>
    <xf numFmtId="177" fontId="68" fillId="0" borderId="33" xfId="8" applyNumberFormat="1" applyFont="1" applyFill="1" applyBorder="1" applyProtection="1">
      <protection locked="0"/>
    </xf>
    <xf numFmtId="177" fontId="68" fillId="0" borderId="31" xfId="8" applyNumberFormat="1" applyFont="1" applyFill="1" applyBorder="1" applyProtection="1">
      <protection locked="0"/>
    </xf>
    <xf numFmtId="177" fontId="68" fillId="0" borderId="30" xfId="8" applyNumberFormat="1" applyFont="1" applyFill="1" applyBorder="1" applyProtection="1">
      <protection locked="0"/>
    </xf>
    <xf numFmtId="177" fontId="68" fillId="0" borderId="34" xfId="8" applyNumberFormat="1" applyFont="1" applyFill="1" applyBorder="1" applyProtection="1">
      <protection locked="0"/>
    </xf>
    <xf numFmtId="0" fontId="16" fillId="0" borderId="0" xfId="8" applyNumberFormat="1" applyFont="1" applyBorder="1" applyAlignment="1" applyProtection="1">
      <alignment horizontal="left" indent="6"/>
      <protection locked="0"/>
    </xf>
    <xf numFmtId="193" fontId="1" fillId="0" borderId="25" xfId="1" applyNumberFormat="1" applyFont="1" applyBorder="1" applyAlignment="1">
      <alignment vertical="center"/>
    </xf>
    <xf numFmtId="0" fontId="77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0" fontId="7" fillId="0" borderId="30" xfId="0" applyFont="1" applyBorder="1"/>
    <xf numFmtId="0" fontId="68" fillId="0" borderId="0" xfId="0" applyFont="1" applyAlignment="1">
      <alignment horizontal="left" indent="1"/>
    </xf>
    <xf numFmtId="169" fontId="1" fillId="0" borderId="0" xfId="0" applyNumberFormat="1" applyFont="1"/>
    <xf numFmtId="0" fontId="81" fillId="0" borderId="0" xfId="0" applyFont="1"/>
    <xf numFmtId="0" fontId="78" fillId="0" borderId="0" xfId="0" applyFont="1"/>
    <xf numFmtId="170" fontId="81" fillId="0" borderId="40" xfId="0" applyNumberFormat="1" applyFont="1" applyBorder="1"/>
    <xf numFmtId="170" fontId="81" fillId="0" borderId="41" xfId="0" applyNumberFormat="1" applyFont="1" applyBorder="1"/>
    <xf numFmtId="170" fontId="81" fillId="0" borderId="42" xfId="0" applyNumberFormat="1" applyFont="1" applyBorder="1"/>
    <xf numFmtId="170" fontId="81" fillId="0" borderId="0" xfId="0" applyNumberFormat="1" applyFont="1"/>
    <xf numFmtId="37" fontId="81" fillId="0" borderId="0" xfId="0" applyNumberFormat="1" applyFont="1" applyAlignment="1">
      <alignment vertical="center"/>
    </xf>
    <xf numFmtId="175" fontId="77" fillId="0" borderId="0" xfId="0" applyNumberFormat="1" applyFont="1" applyAlignment="1">
      <alignment horizontal="right"/>
    </xf>
    <xf numFmtId="171" fontId="76" fillId="0" borderId="0" xfId="0" applyNumberFormat="1" applyFont="1"/>
    <xf numFmtId="171" fontId="76" fillId="0" borderId="25" xfId="0" applyNumberFormat="1" applyFont="1" applyBorder="1"/>
    <xf numFmtId="0" fontId="42" fillId="0" borderId="0" xfId="0" applyFont="1" applyAlignment="1">
      <alignment horizontal="left" indent="2"/>
    </xf>
    <xf numFmtId="0" fontId="78" fillId="0" borderId="30" xfId="0" applyFont="1" applyBorder="1"/>
    <xf numFmtId="170" fontId="81" fillId="0" borderId="30" xfId="0" applyNumberFormat="1" applyFont="1" applyBorder="1"/>
    <xf numFmtId="170" fontId="81" fillId="0" borderId="45" xfId="0" applyNumberFormat="1" applyFont="1" applyBorder="1"/>
    <xf numFmtId="170" fontId="81" fillId="0" borderId="46" xfId="0" applyNumberFormat="1" applyFont="1" applyBorder="1"/>
    <xf numFmtId="170" fontId="81" fillId="7" borderId="43" xfId="0" applyNumberFormat="1" applyFont="1" applyFill="1" applyBorder="1"/>
    <xf numFmtId="170" fontId="81" fillId="7" borderId="44" xfId="0" applyNumberFormat="1" applyFont="1" applyFill="1" applyBorder="1"/>
    <xf numFmtId="170" fontId="81" fillId="7" borderId="39" xfId="0" applyNumberFormat="1" applyFont="1" applyFill="1" applyBorder="1"/>
    <xf numFmtId="9" fontId="76" fillId="7" borderId="39" xfId="2" applyFont="1" applyFill="1" applyBorder="1" applyAlignment="1">
      <alignment horizontal="right" indent="1"/>
    </xf>
    <xf numFmtId="37" fontId="82" fillId="0" borderId="0" xfId="0" applyNumberFormat="1" applyFont="1" applyAlignment="1">
      <alignment vertical="center"/>
    </xf>
    <xf numFmtId="194" fontId="68" fillId="7" borderId="39" xfId="0" applyNumberFormat="1" applyFont="1" applyFill="1" applyBorder="1" applyAlignment="1">
      <alignment horizontal="left" indent="1"/>
    </xf>
    <xf numFmtId="195" fontId="81" fillId="7" borderId="39" xfId="0" applyNumberFormat="1" applyFont="1" applyFill="1" applyBorder="1" applyAlignment="1">
      <alignment vertical="center"/>
    </xf>
    <xf numFmtId="175" fontId="68" fillId="0" borderId="2" xfId="0" applyNumberFormat="1" applyFont="1" applyBorder="1" applyAlignment="1">
      <alignment horizontal="right"/>
    </xf>
    <xf numFmtId="164" fontId="1" fillId="0" borderId="0" xfId="1" applyFont="1"/>
    <xf numFmtId="193" fontId="1" fillId="0" borderId="0" xfId="1" applyNumberFormat="1" applyFont="1"/>
    <xf numFmtId="164" fontId="1" fillId="0" borderId="25" xfId="1" applyFont="1" applyBorder="1"/>
    <xf numFmtId="164" fontId="1" fillId="0" borderId="23" xfId="1" applyFont="1" applyBorder="1"/>
    <xf numFmtId="164" fontId="1" fillId="0" borderId="33" xfId="1" applyFont="1" applyBorder="1"/>
    <xf numFmtId="164" fontId="1" fillId="0" borderId="31" xfId="1" applyFont="1" applyBorder="1"/>
    <xf numFmtId="164" fontId="1" fillId="0" borderId="30" xfId="1" applyFont="1" applyBorder="1"/>
    <xf numFmtId="164" fontId="1" fillId="0" borderId="34" xfId="1" applyFont="1" applyBorder="1"/>
    <xf numFmtId="164" fontId="1" fillId="0" borderId="36" xfId="1" applyFont="1" applyBorder="1"/>
    <xf numFmtId="164" fontId="1" fillId="0" borderId="37" xfId="1" applyFont="1" applyBorder="1"/>
    <xf numFmtId="169" fontId="1" fillId="0" borderId="37" xfId="0" applyNumberFormat="1" applyFont="1" applyBorder="1"/>
    <xf numFmtId="169" fontId="1" fillId="0" borderId="38" xfId="0" applyNumberFormat="1" applyFont="1" applyBorder="1"/>
    <xf numFmtId="193" fontId="1" fillId="0" borderId="24" xfId="1" applyNumberFormat="1" applyFont="1" applyBorder="1"/>
    <xf numFmtId="193" fontId="1" fillId="0" borderId="0" xfId="1" applyNumberFormat="1" applyFont="1" applyBorder="1"/>
    <xf numFmtId="193" fontId="1" fillId="0" borderId="35" xfId="1" applyNumberFormat="1" applyFont="1" applyBorder="1"/>
    <xf numFmtId="37" fontId="42" fillId="0" borderId="0" xfId="0" applyNumberFormat="1" applyFont="1" applyAlignment="1">
      <alignment horizontal="left" vertical="center"/>
    </xf>
    <xf numFmtId="167" fontId="42" fillId="0" borderId="2" xfId="0" applyNumberFormat="1" applyFont="1" applyBorder="1" applyAlignment="1">
      <alignment vertical="center"/>
    </xf>
    <xf numFmtId="164" fontId="19" fillId="0" borderId="0" xfId="1" applyFont="1" applyFill="1" applyBorder="1" applyAlignment="1">
      <alignment vertical="center"/>
    </xf>
    <xf numFmtId="169" fontId="42" fillId="0" borderId="0" xfId="0" applyNumberFormat="1" applyFont="1" applyAlignment="1">
      <alignment vertical="center"/>
    </xf>
    <xf numFmtId="167" fontId="42" fillId="0" borderId="0" xfId="0" applyNumberFormat="1" applyFont="1" applyAlignment="1">
      <alignment vertical="center"/>
    </xf>
    <xf numFmtId="169" fontId="42" fillId="0" borderId="2" xfId="0" applyNumberFormat="1" applyFont="1" applyBorder="1" applyAlignment="1">
      <alignment vertical="center"/>
    </xf>
    <xf numFmtId="174" fontId="81" fillId="0" borderId="0" xfId="2" applyNumberFormat="1" applyFont="1" applyProtection="1">
      <protection locked="0"/>
    </xf>
    <xf numFmtId="167" fontId="36" fillId="0" borderId="40" xfId="0" applyNumberFormat="1" applyFont="1" applyBorder="1" applyAlignment="1">
      <alignment horizontal="right" vertical="center"/>
    </xf>
    <xf numFmtId="167" fontId="36" fillId="0" borderId="41" xfId="0" applyNumberFormat="1" applyFont="1" applyBorder="1" applyAlignment="1">
      <alignment horizontal="right" vertical="center"/>
    </xf>
    <xf numFmtId="193" fontId="20" fillId="0" borderId="40" xfId="1" applyNumberFormat="1" applyFont="1" applyFill="1" applyBorder="1" applyAlignment="1">
      <alignment vertical="center"/>
    </xf>
    <xf numFmtId="193" fontId="20" fillId="0" borderId="41" xfId="1" applyNumberFormat="1" applyFont="1" applyFill="1" applyBorder="1" applyAlignment="1">
      <alignment vertical="center"/>
    </xf>
    <xf numFmtId="0" fontId="83" fillId="0" borderId="0" xfId="0" applyFont="1" applyAlignment="1">
      <alignment vertical="center"/>
    </xf>
    <xf numFmtId="193" fontId="20" fillId="0" borderId="0" xfId="1" applyNumberFormat="1" applyFont="1" applyFill="1" applyBorder="1" applyAlignment="1">
      <alignment vertical="center"/>
    </xf>
    <xf numFmtId="164" fontId="1" fillId="0" borderId="0" xfId="1" applyFont="1" applyBorder="1" applyAlignment="1">
      <alignment vertical="center"/>
    </xf>
    <xf numFmtId="0" fontId="83" fillId="0" borderId="0" xfId="0" applyFont="1" applyAlignment="1">
      <alignment horizontal="center" vertical="center"/>
    </xf>
    <xf numFmtId="179" fontId="20" fillId="0" borderId="40" xfId="2" applyNumberFormat="1" applyFont="1" applyFill="1" applyBorder="1" applyAlignment="1">
      <alignment vertical="center"/>
    </xf>
    <xf numFmtId="179" fontId="20" fillId="0" borderId="41" xfId="2" applyNumberFormat="1" applyFont="1" applyFill="1" applyBorder="1" applyAlignment="1">
      <alignment vertical="center"/>
    </xf>
    <xf numFmtId="179" fontId="20" fillId="0" borderId="42" xfId="2" applyNumberFormat="1" applyFont="1" applyFill="1" applyBorder="1" applyAlignment="1">
      <alignment vertical="center"/>
    </xf>
    <xf numFmtId="0" fontId="83" fillId="0" borderId="0" xfId="0" applyFont="1" applyAlignment="1">
      <alignment horizontal="left" vertical="center" indent="2"/>
    </xf>
    <xf numFmtId="0" fontId="79" fillId="0" borderId="0" xfId="0" applyFont="1" applyAlignment="1">
      <alignment horizontal="left"/>
    </xf>
    <xf numFmtId="1" fontId="36" fillId="0" borderId="0" xfId="0" applyNumberFormat="1" applyFont="1" applyAlignment="1">
      <alignment vertical="center"/>
    </xf>
    <xf numFmtId="3" fontId="20" fillId="0" borderId="41" xfId="2" applyNumberFormat="1" applyFont="1" applyFill="1" applyBorder="1" applyAlignment="1">
      <alignment vertical="center"/>
    </xf>
    <xf numFmtId="3" fontId="20" fillId="0" borderId="42" xfId="2" applyNumberFormat="1" applyFont="1" applyFill="1" applyBorder="1" applyAlignment="1">
      <alignment vertical="center"/>
    </xf>
    <xf numFmtId="164" fontId="33" fillId="0" borderId="0" xfId="1" applyFont="1" applyAlignment="1">
      <alignment horizontal="right"/>
    </xf>
    <xf numFmtId="0" fontId="84" fillId="0" borderId="0" xfId="0" applyFont="1"/>
    <xf numFmtId="0" fontId="86" fillId="0" borderId="0" xfId="0" applyFont="1"/>
    <xf numFmtId="0" fontId="68" fillId="0" borderId="0" xfId="0" applyFont="1" applyAlignment="1">
      <alignment vertical="center"/>
    </xf>
    <xf numFmtId="9" fontId="85" fillId="8" borderId="0" xfId="0" applyNumberFormat="1" applyFont="1" applyFill="1" applyAlignment="1">
      <alignment horizontal="center"/>
    </xf>
    <xf numFmtId="198" fontId="85" fillId="8" borderId="0" xfId="0" applyNumberFormat="1" applyFont="1" applyFill="1" applyAlignment="1">
      <alignment horizontal="center"/>
    </xf>
    <xf numFmtId="197" fontId="85" fillId="8" borderId="0" xfId="0" applyNumberFormat="1" applyFont="1" applyFill="1" applyAlignment="1">
      <alignment horizontal="center"/>
    </xf>
    <xf numFmtId="170" fontId="85" fillId="8" borderId="0" xfId="0" applyNumberFormat="1" applyFont="1" applyFill="1" applyAlignment="1">
      <alignment horizontal="center"/>
    </xf>
    <xf numFmtId="0" fontId="36" fillId="0" borderId="25" xfId="0" applyFont="1" applyBorder="1" applyAlignment="1">
      <alignment vertical="center"/>
    </xf>
    <xf numFmtId="0" fontId="7" fillId="0" borderId="23" xfId="0" applyFont="1" applyBorder="1"/>
    <xf numFmtId="170" fontId="68" fillId="0" borderId="23" xfId="0" applyNumberFormat="1" applyFont="1" applyBorder="1" applyAlignment="1">
      <alignment horizontal="center"/>
    </xf>
    <xf numFmtId="170" fontId="68" fillId="0" borderId="30" xfId="0" applyNumberFormat="1" applyFont="1" applyBorder="1" applyAlignment="1">
      <alignment horizontal="center"/>
    </xf>
    <xf numFmtId="174" fontId="7" fillId="0" borderId="0" xfId="0" applyNumberFormat="1" applyFont="1"/>
    <xf numFmtId="9" fontId="7" fillId="0" borderId="0" xfId="0" applyNumberFormat="1" applyFont="1"/>
    <xf numFmtId="0" fontId="84" fillId="8" borderId="0" xfId="0" applyFont="1" applyFill="1"/>
    <xf numFmtId="9" fontId="68" fillId="0" borderId="0" xfId="0" applyNumberFormat="1" applyFont="1" applyAlignment="1">
      <alignment horizontal="center"/>
    </xf>
    <xf numFmtId="198" fontId="68" fillId="0" borderId="0" xfId="0" applyNumberFormat="1" applyFont="1" applyAlignment="1">
      <alignment horizontal="center"/>
    </xf>
    <xf numFmtId="197" fontId="68" fillId="0" borderId="0" xfId="0" applyNumberFormat="1" applyFont="1" applyAlignment="1">
      <alignment horizontal="center"/>
    </xf>
    <xf numFmtId="170" fontId="68" fillId="0" borderId="0" xfId="0" applyNumberFormat="1" applyFont="1" applyAlignment="1">
      <alignment horizontal="center"/>
    </xf>
    <xf numFmtId="174" fontId="68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98" fontId="1" fillId="0" borderId="0" xfId="0" applyNumberFormat="1" applyFont="1" applyAlignment="1">
      <alignment horizontal="right" vertical="center"/>
    </xf>
    <xf numFmtId="197" fontId="1" fillId="0" borderId="0" xfId="0" applyNumberFormat="1" applyFont="1" applyAlignment="1">
      <alignment horizontal="right" vertical="center"/>
    </xf>
    <xf numFmtId="0" fontId="20" fillId="0" borderId="32" xfId="0" applyFont="1" applyBorder="1" applyAlignment="1">
      <alignment horizontal="right"/>
    </xf>
    <xf numFmtId="0" fontId="86" fillId="8" borderId="0" xfId="0" applyFont="1" applyFill="1"/>
    <xf numFmtId="0" fontId="77" fillId="0" borderId="0" xfId="0" applyFont="1" applyAlignment="1">
      <alignment horizontal="center" vertical="center"/>
    </xf>
    <xf numFmtId="193" fontId="68" fillId="0" borderId="0" xfId="1" applyNumberFormat="1" applyFont="1" applyBorder="1" applyAlignment="1">
      <alignment horizontal="center"/>
    </xf>
    <xf numFmtId="9" fontId="85" fillId="0" borderId="0" xfId="0" applyNumberFormat="1" applyFont="1" applyAlignment="1">
      <alignment horizontal="center"/>
    </xf>
    <xf numFmtId="9" fontId="85" fillId="0" borderId="0" xfId="2" applyFont="1" applyBorder="1" applyAlignment="1">
      <alignment horizontal="center"/>
    </xf>
    <xf numFmtId="170" fontId="85" fillId="0" borderId="0" xfId="0" applyNumberFormat="1" applyFont="1" applyAlignment="1">
      <alignment horizontal="center"/>
    </xf>
    <xf numFmtId="0" fontId="85" fillId="0" borderId="0" xfId="0" applyFont="1"/>
    <xf numFmtId="164" fontId="1" fillId="0" borderId="33" xfId="1" applyFont="1" applyBorder="1" applyAlignment="1">
      <alignment vertical="center"/>
    </xf>
    <xf numFmtId="193" fontId="1" fillId="0" borderId="31" xfId="1" applyNumberFormat="1" applyFont="1" applyBorder="1" applyAlignment="1">
      <alignment vertical="center"/>
    </xf>
    <xf numFmtId="193" fontId="1" fillId="0" borderId="30" xfId="1" applyNumberFormat="1" applyFont="1" applyBorder="1" applyAlignment="1">
      <alignment vertical="center"/>
    </xf>
    <xf numFmtId="164" fontId="1" fillId="0" borderId="34" xfId="1" applyFont="1" applyBorder="1" applyAlignment="1">
      <alignment vertical="center"/>
    </xf>
    <xf numFmtId="193" fontId="85" fillId="0" borderId="23" xfId="1" applyNumberFormat="1" applyFont="1" applyBorder="1" applyAlignment="1">
      <alignment horizontal="center"/>
    </xf>
    <xf numFmtId="9" fontId="68" fillId="0" borderId="23" xfId="2" applyFont="1" applyBorder="1" applyAlignment="1">
      <alignment horizontal="center"/>
    </xf>
    <xf numFmtId="0" fontId="85" fillId="0" borderId="23" xfId="0" applyFont="1" applyBorder="1"/>
    <xf numFmtId="0" fontId="1" fillId="0" borderId="23" xfId="0" applyFont="1" applyBorder="1" applyAlignment="1">
      <alignment horizontal="left"/>
    </xf>
    <xf numFmtId="0" fontId="42" fillId="0" borderId="33" xfId="8" applyNumberFormat="1" applyFont="1" applyFill="1" applyBorder="1" applyAlignment="1" applyProtection="1">
      <alignment horizontal="left" indent="1"/>
      <protection locked="0"/>
    </xf>
    <xf numFmtId="0" fontId="36" fillId="0" borderId="31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93" fontId="85" fillId="0" borderId="30" xfId="1" applyNumberFormat="1" applyFont="1" applyBorder="1" applyAlignment="1">
      <alignment horizontal="center" vertical="top"/>
    </xf>
    <xf numFmtId="9" fontId="68" fillId="0" borderId="30" xfId="2" applyFont="1" applyBorder="1" applyAlignment="1">
      <alignment horizontal="center" vertical="top"/>
    </xf>
    <xf numFmtId="0" fontId="85" fillId="0" borderId="30" xfId="0" applyFont="1" applyBorder="1"/>
    <xf numFmtId="9" fontId="68" fillId="0" borderId="30" xfId="2" applyFont="1" applyBorder="1" applyAlignment="1">
      <alignment horizontal="center"/>
    </xf>
    <xf numFmtId="170" fontId="68" fillId="0" borderId="30" xfId="0" applyNumberFormat="1" applyFont="1" applyBorder="1" applyAlignment="1">
      <alignment horizontal="center" vertical="top"/>
    </xf>
    <xf numFmtId="0" fontId="1" fillId="0" borderId="30" xfId="0" applyFont="1" applyBorder="1" applyAlignment="1">
      <alignment horizontal="left"/>
    </xf>
    <xf numFmtId="0" fontId="42" fillId="0" borderId="34" xfId="8" applyNumberFormat="1" applyFont="1" applyFill="1" applyBorder="1" applyAlignment="1" applyProtection="1">
      <alignment horizontal="left" indent="1"/>
      <protection locked="0"/>
    </xf>
    <xf numFmtId="9" fontId="1" fillId="0" borderId="0" xfId="0" applyNumberFormat="1" applyFont="1" applyAlignment="1">
      <alignment horizontal="center"/>
    </xf>
    <xf numFmtId="0" fontId="69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81" fillId="0" borderId="0" xfId="0" applyFont="1" applyAlignment="1">
      <alignment vertical="center"/>
    </xf>
    <xf numFmtId="170" fontId="68" fillId="0" borderId="0" xfId="0" applyNumberFormat="1" applyFont="1"/>
    <xf numFmtId="0" fontId="68" fillId="0" borderId="0" xfId="0" applyFont="1"/>
    <xf numFmtId="0" fontId="68" fillId="0" borderId="0" xfId="0" applyFont="1" applyAlignment="1">
      <alignment horizontal="right"/>
    </xf>
    <xf numFmtId="9" fontId="68" fillId="0" borderId="0" xfId="2" applyFont="1"/>
    <xf numFmtId="174" fontId="68" fillId="0" borderId="0" xfId="2" applyNumberFormat="1" applyFont="1"/>
    <xf numFmtId="9" fontId="68" fillId="0" borderId="0" xfId="0" applyNumberFormat="1" applyFont="1"/>
    <xf numFmtId="197" fontId="68" fillId="0" borderId="0" xfId="0" applyNumberFormat="1" applyFont="1"/>
    <xf numFmtId="0" fontId="42" fillId="0" borderId="47" xfId="7" applyFont="1" applyBorder="1"/>
    <xf numFmtId="176" fontId="33" fillId="0" borderId="13" xfId="7" applyNumberFormat="1" applyFont="1" applyBorder="1" applyAlignment="1">
      <alignment horizontal="right"/>
    </xf>
    <xf numFmtId="0" fontId="1" fillId="0" borderId="0" xfId="7" applyFont="1"/>
    <xf numFmtId="199" fontId="42" fillId="0" borderId="0" xfId="7" applyNumberFormat="1" applyFont="1"/>
    <xf numFmtId="199" fontId="16" fillId="0" borderId="0" xfId="0" applyNumberFormat="1" applyFont="1" applyAlignment="1">
      <alignment horizontal="left"/>
    </xf>
    <xf numFmtId="170" fontId="42" fillId="0" borderId="0" xfId="7" applyNumberFormat="1" applyFont="1"/>
    <xf numFmtId="196" fontId="36" fillId="0" borderId="0" xfId="8" applyNumberFormat="1" applyFont="1" applyFill="1" applyBorder="1" applyAlignment="1" applyProtection="1">
      <alignment horizontal="right"/>
      <protection locked="0"/>
    </xf>
    <xf numFmtId="194" fontId="68" fillId="0" borderId="0" xfId="1" applyNumberFormat="1" applyFont="1" applyBorder="1" applyAlignment="1">
      <alignment horizontal="right" vertical="center"/>
    </xf>
    <xf numFmtId="174" fontId="81" fillId="0" borderId="0" xfId="2" applyNumberFormat="1" applyFont="1"/>
    <xf numFmtId="9" fontId="68" fillId="0" borderId="0" xfId="2" applyFont="1" applyAlignment="1">
      <alignment horizontal="right"/>
    </xf>
    <xf numFmtId="174" fontId="76" fillId="0" borderId="25" xfId="2" applyNumberFormat="1" applyFont="1" applyFill="1" applyBorder="1" applyAlignment="1">
      <alignment horizontal="left" vertical="center"/>
    </xf>
    <xf numFmtId="174" fontId="76" fillId="0" borderId="24" xfId="2" applyNumberFormat="1" applyFont="1" applyFill="1" applyBorder="1" applyAlignment="1">
      <alignment horizontal="left" vertical="center"/>
    </xf>
    <xf numFmtId="174" fontId="65" fillId="0" borderId="24" xfId="2" applyNumberFormat="1" applyFont="1" applyFill="1" applyBorder="1" applyAlignment="1">
      <alignment horizontal="left" vertical="center"/>
    </xf>
    <xf numFmtId="174" fontId="76" fillId="0" borderId="31" xfId="2" applyNumberFormat="1" applyFont="1" applyFill="1" applyBorder="1" applyAlignment="1">
      <alignment horizontal="left" vertical="center"/>
    </xf>
    <xf numFmtId="9" fontId="68" fillId="0" borderId="25" xfId="0" applyNumberFormat="1" applyFont="1" applyBorder="1" applyAlignment="1">
      <alignment horizontal="center"/>
    </xf>
    <xf numFmtId="198" fontId="68" fillId="0" borderId="23" xfId="0" applyNumberFormat="1" applyFont="1" applyBorder="1" applyAlignment="1">
      <alignment horizontal="center"/>
    </xf>
    <xf numFmtId="197" fontId="68" fillId="0" borderId="23" xfId="0" applyNumberFormat="1" applyFont="1" applyBorder="1" applyAlignment="1">
      <alignment horizontal="center"/>
    </xf>
    <xf numFmtId="9" fontId="68" fillId="0" borderId="23" xfId="0" applyNumberFormat="1" applyFont="1" applyBorder="1" applyAlignment="1">
      <alignment horizontal="center"/>
    </xf>
    <xf numFmtId="0" fontId="36" fillId="0" borderId="24" xfId="0" applyFont="1" applyBorder="1" applyAlignment="1">
      <alignment vertical="center"/>
    </xf>
    <xf numFmtId="9" fontId="68" fillId="0" borderId="24" xfId="0" applyNumberFormat="1" applyFont="1" applyBorder="1" applyAlignment="1">
      <alignment horizontal="center"/>
    </xf>
    <xf numFmtId="0" fontId="36" fillId="0" borderId="31" xfId="0" applyFont="1" applyBorder="1" applyAlignment="1">
      <alignment vertical="center"/>
    </xf>
    <xf numFmtId="9" fontId="68" fillId="0" borderId="31" xfId="0" applyNumberFormat="1" applyFont="1" applyBorder="1" applyAlignment="1">
      <alignment horizontal="center"/>
    </xf>
    <xf numFmtId="198" fontId="68" fillId="0" borderId="30" xfId="0" applyNumberFormat="1" applyFont="1" applyBorder="1" applyAlignment="1">
      <alignment horizontal="center"/>
    </xf>
    <xf numFmtId="197" fontId="68" fillId="0" borderId="30" xfId="0" applyNumberFormat="1" applyFont="1" applyBorder="1" applyAlignment="1">
      <alignment horizontal="center"/>
    </xf>
    <xf numFmtId="9" fontId="68" fillId="0" borderId="30" xfId="0" applyNumberFormat="1" applyFont="1" applyBorder="1" applyAlignment="1">
      <alignment horizontal="center"/>
    </xf>
    <xf numFmtId="170" fontId="68" fillId="0" borderId="33" xfId="0" applyNumberFormat="1" applyFont="1" applyBorder="1" applyAlignment="1">
      <alignment horizontal="center"/>
    </xf>
    <xf numFmtId="170" fontId="68" fillId="0" borderId="35" xfId="0" applyNumberFormat="1" applyFont="1" applyBorder="1" applyAlignment="1">
      <alignment horizontal="center"/>
    </xf>
    <xf numFmtId="170" fontId="68" fillId="0" borderId="34" xfId="0" applyNumberFormat="1" applyFont="1" applyBorder="1" applyAlignment="1">
      <alignment horizontal="center"/>
    </xf>
    <xf numFmtId="0" fontId="84" fillId="0" borderId="23" xfId="0" applyFont="1" applyBorder="1"/>
    <xf numFmtId="0" fontId="84" fillId="0" borderId="30" xfId="0" applyFont="1" applyBorder="1"/>
    <xf numFmtId="200" fontId="1" fillId="0" borderId="33" xfId="0" applyNumberFormat="1" applyFont="1" applyBorder="1"/>
    <xf numFmtId="200" fontId="1" fillId="0" borderId="35" xfId="0" applyNumberFormat="1" applyFont="1" applyBorder="1"/>
    <xf numFmtId="200" fontId="78" fillId="0" borderId="35" xfId="0" applyNumberFormat="1" applyFont="1" applyBorder="1"/>
    <xf numFmtId="200" fontId="1" fillId="0" borderId="34" xfId="0" applyNumberFormat="1" applyFont="1" applyBorder="1"/>
    <xf numFmtId="174" fontId="20" fillId="0" borderId="39" xfId="2" applyNumberFormat="1" applyFont="1" applyFill="1" applyBorder="1" applyAlignment="1">
      <alignment horizontal="right" vertical="center"/>
    </xf>
    <xf numFmtId="174" fontId="1" fillId="0" borderId="45" xfId="2" applyNumberFormat="1" applyFont="1" applyBorder="1" applyAlignment="1">
      <alignment vertical="center"/>
    </xf>
    <xf numFmtId="174" fontId="1" fillId="0" borderId="46" xfId="2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9" fontId="7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 textRotation="90"/>
    </xf>
    <xf numFmtId="0" fontId="16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</cellXfs>
  <cellStyles count="10">
    <cellStyle name="Comma" xfId="1" builtinId="3"/>
    <cellStyle name="Comma 2" xfId="6" xr:uid="{5165D7A9-54EC-4856-98DB-B9A1949979F2}"/>
    <cellStyle name="Comma 3" xfId="8" xr:uid="{87CF29CD-7EFE-C149-939B-639B313E8918}"/>
    <cellStyle name="Hyperlink" xfId="5" builtinId="8"/>
    <cellStyle name="Hyperlink 2 2" xfId="4" xr:uid="{2FB86F81-F5AB-4521-94A9-2BCD4F44B15F}"/>
    <cellStyle name="Normal" xfId="0" builtinId="0"/>
    <cellStyle name="Normal 2" xfId="7" xr:uid="{C14BDD43-F8A1-154C-9874-32E585C9E626}"/>
    <cellStyle name="Normal 2 2 2" xfId="3" xr:uid="{3BED6B41-376D-40D8-AAEF-27AA4EF6C7FA}"/>
    <cellStyle name="Per cent" xfId="2" builtinId="5"/>
    <cellStyle name="Percent 2" xfId="9" xr:uid="{651F78D1-E504-6746-8C04-F7A049B4E501}"/>
  </cellStyles>
  <dxfs count="1"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269570944130883E-2"/>
          <c:y val="5.0925925925925923E-2"/>
          <c:w val="0.9110003986112154"/>
          <c:h val="0.82842483231262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Outputs!$W$45</c:f>
              <c:strCache>
                <c:ptCount val="1"/>
                <c:pt idx="0">
                  <c:v>Single Financial 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Outputs!$X$44:$AB$44</c:f>
              <c:numCache>
                <c:formatCode>0"F"</c:formatCode>
                <c:ptCount val="5"/>
                <c:pt idx="0" formatCode="0&quot;A&quot;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Outputs!$X$45:$AB$45</c:f>
              <c:numCache>
                <c:formatCode>_(* #,##0_);_(* \(#,##0\);_(* "-"??_);_(@_)</c:formatCode>
                <c:ptCount val="5"/>
                <c:pt idx="0">
                  <c:v>5500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E-7448-BC5C-0A66903A3998}"/>
            </c:ext>
          </c:extLst>
        </c:ser>
        <c:ser>
          <c:idx val="1"/>
          <c:order val="1"/>
          <c:tx>
            <c:strRef>
              <c:f>Outputs!$W$46</c:f>
              <c:strCache>
                <c:ptCount val="1"/>
                <c:pt idx="0">
                  <c:v>Two Phased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Outputs!$X$44:$AB$44</c:f>
              <c:numCache>
                <c:formatCode>0"F"</c:formatCode>
                <c:ptCount val="5"/>
                <c:pt idx="0" formatCode="0&quot;A&quot;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Outputs!$X$46:$AB$46</c:f>
              <c:numCache>
                <c:formatCode>_(* #,##0_);_(* \(#,##0\);_(* "-"??_);_(@_)</c:formatCode>
                <c:ptCount val="5"/>
                <c:pt idx="0">
                  <c:v>1500</c:v>
                </c:pt>
                <c:pt idx="1">
                  <c:v>1500</c:v>
                </c:pt>
                <c:pt idx="2">
                  <c:v>1000</c:v>
                </c:pt>
                <c:pt idx="3">
                  <c:v>1000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E-7448-BC5C-0A66903A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-42"/>
        <c:axId val="1418122496"/>
        <c:axId val="1418119808"/>
      </c:barChart>
      <c:catAx>
        <c:axId val="1418122496"/>
        <c:scaling>
          <c:orientation val="minMax"/>
        </c:scaling>
        <c:delete val="0"/>
        <c:axPos val="l"/>
        <c:numFmt formatCode="0&quot;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18119808"/>
        <c:crosses val="autoZero"/>
        <c:auto val="1"/>
        <c:lblAlgn val="ctr"/>
        <c:lblOffset val="100"/>
        <c:noMultiLvlLbl val="0"/>
      </c:catAx>
      <c:valAx>
        <c:axId val="1418119808"/>
        <c:scaling>
          <c:orientation val="minMax"/>
          <c:max val="5500"/>
          <c:min val="0.01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18122496"/>
        <c:crosses val="autoZero"/>
        <c:crossBetween val="between"/>
        <c:majorUnit val="500"/>
        <c:min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092233232196387"/>
          <c:y val="4.5412508149857068E-2"/>
          <c:w val="0.39503542848762063"/>
          <c:h val="0.10041807274090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609513443648923E-2"/>
          <c:y val="6.5565685868213819E-2"/>
          <c:w val="0.92755267767554972"/>
          <c:h val="0.78372288990192018"/>
        </c:manualLayout>
      </c:layout>
      <c:lineChart>
        <c:grouping val="standard"/>
        <c:varyColors val="0"/>
        <c:ser>
          <c:idx val="1"/>
          <c:order val="1"/>
          <c:tx>
            <c:strRef>
              <c:f>Outputs!$W$76</c:f>
              <c:strCache>
                <c:ptCount val="1"/>
                <c:pt idx="0">
                  <c:v>Debt Service Coverage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pattFill>
                <a:fgClr>
                  <a:srgbClr val="FA621C"/>
                </a:fgClr>
                <a:bgClr>
                  <a:srgbClr val="FA621C"/>
                </a:bgClr>
              </a:pattFill>
              <a:ln w="9525">
                <a:solidFill>
                  <a:srgbClr val="FA621C"/>
                </a:solidFill>
              </a:ln>
              <a:effectLst/>
            </c:spPr>
          </c:marker>
          <c:cat>
            <c:numRef>
              <c:f>Outputs!$Z$70:$AS$70</c:f>
              <c:numCache>
                <c:formatCode>0"F"</c:formatCod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numCache>
            </c:numRef>
          </c:cat>
          <c:val>
            <c:numRef>
              <c:f>Outputs!$Z$76:$AS$76</c:f>
              <c:numCache>
                <c:formatCode>_(0.0\x_);\(0.0\x\);_("–"_);_(@_)</c:formatCode>
                <c:ptCount val="20"/>
                <c:pt idx="0">
                  <c:v>1.7492787762701834</c:v>
                </c:pt>
                <c:pt idx="1">
                  <c:v>2.1445744529494868</c:v>
                </c:pt>
                <c:pt idx="2">
                  <c:v>2.6930179811818724</c:v>
                </c:pt>
                <c:pt idx="3">
                  <c:v>2.1632266839043055</c:v>
                </c:pt>
                <c:pt idx="4">
                  <c:v>2.9112373627575052</c:v>
                </c:pt>
                <c:pt idx="5">
                  <c:v>3.3119763862245968</c:v>
                </c:pt>
                <c:pt idx="6">
                  <c:v>3.5966293780408751</c:v>
                </c:pt>
                <c:pt idx="7">
                  <c:v>3.7718958849406539</c:v>
                </c:pt>
                <c:pt idx="8">
                  <c:v>3.9582467995032293</c:v>
                </c:pt>
                <c:pt idx="9">
                  <c:v>4.1588383609361479</c:v>
                </c:pt>
                <c:pt idx="10">
                  <c:v>4.3665337723087836</c:v>
                </c:pt>
                <c:pt idx="11">
                  <c:v>4.5794052102550884</c:v>
                </c:pt>
                <c:pt idx="12">
                  <c:v>4.807260012950568</c:v>
                </c:pt>
                <c:pt idx="13">
                  <c:v>5.0544360426320551</c:v>
                </c:pt>
                <c:pt idx="14">
                  <c:v>5.3234783006075288</c:v>
                </c:pt>
                <c:pt idx="15">
                  <c:v>5.6174011513279982</c:v>
                </c:pt>
                <c:pt idx="16">
                  <c:v>5.9398018640365855</c:v>
                </c:pt>
                <c:pt idx="17">
                  <c:v>6.2950087938852954</c:v>
                </c:pt>
                <c:pt idx="18">
                  <c:v>6.6882771923114044</c:v>
                </c:pt>
                <c:pt idx="19">
                  <c:v>7.126051518634803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C-5D4E-9D0D-D9302088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970591"/>
        <c:axId val="221950623"/>
      </c:lineChart>
      <c:lineChart>
        <c:grouping val="standard"/>
        <c:varyColors val="0"/>
        <c:ser>
          <c:idx val="0"/>
          <c:order val="0"/>
          <c:tx>
            <c:strRef>
              <c:f>Outputs!$W$75</c:f>
              <c:strCache>
                <c:ptCount val="1"/>
                <c:pt idx="0">
                  <c:v>Total Debt / 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pattFill>
                <a:fgClr>
                  <a:srgbClr val="3271D2"/>
                </a:fgClr>
                <a:bgClr>
                  <a:srgbClr val="3271D2"/>
                </a:bgClr>
              </a:pattFill>
              <a:ln w="9525">
                <a:solidFill>
                  <a:srgbClr val="3271D2"/>
                </a:solidFill>
              </a:ln>
              <a:effectLst/>
            </c:spPr>
          </c:marker>
          <c:cat>
            <c:numRef>
              <c:f>Outputs!$Z$70:$AS$70</c:f>
              <c:numCache>
                <c:formatCode>0"F"</c:formatCod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numCache>
            </c:numRef>
          </c:cat>
          <c:val>
            <c:numRef>
              <c:f>Outputs!$Z$75:$AS$75</c:f>
              <c:numCache>
                <c:formatCode>_(0.0\x_);\(0.0\x\);_("–"_);_(@_)</c:formatCode>
                <c:ptCount val="20"/>
                <c:pt idx="0">
                  <c:v>3.865077618586767</c:v>
                </c:pt>
                <c:pt idx="1">
                  <c:v>2.8914765915265455</c:v>
                </c:pt>
                <c:pt idx="2">
                  <c:v>4.4385956541860709</c:v>
                </c:pt>
                <c:pt idx="3">
                  <c:v>2.3792049730256344</c:v>
                </c:pt>
                <c:pt idx="4">
                  <c:v>2.0031471030471346</c:v>
                </c:pt>
                <c:pt idx="5">
                  <c:v>1.6915826221965218</c:v>
                </c:pt>
                <c:pt idx="6">
                  <c:v>1.5437868609924814</c:v>
                </c:pt>
                <c:pt idx="7">
                  <c:v>1.4040706787927644</c:v>
                </c:pt>
                <c:pt idx="8">
                  <c:v>1.2681502338433666</c:v>
                </c:pt>
                <c:pt idx="9">
                  <c:v>1.1359387945193407</c:v>
                </c:pt>
                <c:pt idx="10">
                  <c:v>1.0098968697447277</c:v>
                </c:pt>
                <c:pt idx="11">
                  <c:v>0.88904385915206408</c:v>
                </c:pt>
                <c:pt idx="12">
                  <c:v>0.77047298826670008</c:v>
                </c:pt>
                <c:pt idx="13">
                  <c:v>0.6541310389866265</c:v>
                </c:pt>
                <c:pt idx="14">
                  <c:v>0.53996555818442993</c:v>
                </c:pt>
                <c:pt idx="15">
                  <c:v>0.42792483494327738</c:v>
                </c:pt>
                <c:pt idx="16">
                  <c:v>0.31795787778120205</c:v>
                </c:pt>
                <c:pt idx="17">
                  <c:v>0.21001439184023465</c:v>
                </c:pt>
                <c:pt idx="18">
                  <c:v>0.10404475601572734</c:v>
                </c:pt>
                <c:pt idx="1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C-5D4E-9D0D-D9302088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266047"/>
        <c:axId val="1793264255"/>
      </c:lineChart>
      <c:catAx>
        <c:axId val="221970591"/>
        <c:scaling>
          <c:orientation val="minMax"/>
        </c:scaling>
        <c:delete val="0"/>
        <c:axPos val="b"/>
        <c:numFmt formatCode="0&quot;F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50623"/>
        <c:crosses val="autoZero"/>
        <c:auto val="1"/>
        <c:lblAlgn val="ctr"/>
        <c:lblOffset val="100"/>
        <c:noMultiLvlLbl val="0"/>
      </c:catAx>
      <c:valAx>
        <c:axId val="221950623"/>
        <c:scaling>
          <c:orientation val="minMax"/>
          <c:max val="9"/>
          <c:min val="0.01"/>
        </c:scaling>
        <c:delete val="0"/>
        <c:axPos val="l"/>
        <c:numFmt formatCode="_(0.0\x_);\(0.0\x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1970591"/>
        <c:crosses val="autoZero"/>
        <c:crossBetween val="between"/>
        <c:majorUnit val="1"/>
      </c:valAx>
      <c:valAx>
        <c:axId val="1793264255"/>
        <c:scaling>
          <c:orientation val="minMax"/>
          <c:max val="9"/>
          <c:min val="0.01"/>
        </c:scaling>
        <c:delete val="0"/>
        <c:axPos val="r"/>
        <c:numFmt formatCode="_(0.0\x_);\(0.0\x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DE"/>
          </a:p>
        </c:txPr>
        <c:crossAx val="1793266047"/>
        <c:crosses val="max"/>
        <c:crossBetween val="between"/>
        <c:majorUnit val="1"/>
        <c:minorUnit val="0.2"/>
      </c:valAx>
      <c:catAx>
        <c:axId val="1793266047"/>
        <c:scaling>
          <c:orientation val="minMax"/>
        </c:scaling>
        <c:delete val="1"/>
        <c:axPos val="b"/>
        <c:numFmt formatCode="0&quot;F&quot;" sourceLinked="1"/>
        <c:majorTickMark val="out"/>
        <c:minorTickMark val="none"/>
        <c:tickLblPos val="nextTo"/>
        <c:crossAx val="1793264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6549681304602136"/>
          <c:y val="6.5136432457123056E-2"/>
          <c:w val="0.51092902860826606"/>
          <c:h val="0.14381461527835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F$138" fmlaRange="$D$146:$D$148" noThreeD="1" sel="2" val="0"/>
</file>

<file path=xl/ctrlProps/ctrlProp2.xml><?xml version="1.0" encoding="utf-8"?>
<formControlPr xmlns="http://schemas.microsoft.com/office/spreadsheetml/2009/9/main" objectType="Drop" dropStyle="combo" dx="22" fmlaLink="$F$138" fmlaRange="$D$190:$D$192" noThreeD="1" sel="2" val="0"/>
</file>

<file path=xl/ctrlProps/ctrlProp3.xml><?xml version="1.0" encoding="utf-8"?>
<formControlPr xmlns="http://schemas.microsoft.com/office/spreadsheetml/2009/9/main" objectType="Drop" dropStyle="combo" dx="22" fmlaLink="$E$6" fmlaRange="$B$23:$B$25" noThreeD="1" sel="2" val="0"/>
</file>

<file path=xl/ctrlProps/ctrlProp4.xml><?xml version="1.0" encoding="utf-8"?>
<formControlPr xmlns="http://schemas.microsoft.com/office/spreadsheetml/2009/9/main" objectType="Drop" dropStyle="combo" dx="22" fmlaLink="Outputs!$E$35" fmlaRange="$B$40:$B$41" noThreeD="1" sel="2" val="0"/>
</file>

<file path=xl/ctrlProps/ctrlProp5.xml><?xml version="1.0" encoding="utf-8"?>
<formControlPr xmlns="http://schemas.microsoft.com/office/spreadsheetml/2009/9/main" objectType="Drop" dropStyle="combo" dx="22" fmlaLink="Outputs!$E$6" fmlaRange="$B$96:$B$98" noThreeD="1" sel="2" val="0"/>
</file>

<file path=xl/ctrlProps/ctrlProp6.xml><?xml version="1.0" encoding="utf-8"?>
<formControlPr xmlns="http://schemas.microsoft.com/office/spreadsheetml/2009/9/main" objectType="Drop" dropStyle="combo" dx="22" fmlaLink="Outputs!$E$35" fmlaRange="$B$143:$B$144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137</xdr:row>
          <xdr:rowOff>0</xdr:rowOff>
        </xdr:from>
        <xdr:to>
          <xdr:col>6</xdr:col>
          <xdr:colOff>0</xdr:colOff>
          <xdr:row>138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181</xdr:row>
          <xdr:rowOff>0</xdr:rowOff>
        </xdr:from>
        <xdr:to>
          <xdr:col>6</xdr:col>
          <xdr:colOff>0</xdr:colOff>
          <xdr:row>182</xdr:row>
          <xdr:rowOff>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825500</xdr:colOff>
          <xdr:row>4</xdr:row>
          <xdr:rowOff>165100</xdr:rowOff>
        </xdr:from>
        <xdr:to>
          <xdr:col>5</xdr:col>
          <xdr:colOff>215900</xdr:colOff>
          <xdr:row>5</xdr:row>
          <xdr:rowOff>165100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139700</xdr:colOff>
          <xdr:row>34</xdr:row>
          <xdr:rowOff>0</xdr:rowOff>
        </xdr:from>
        <xdr:to>
          <xdr:col>5</xdr:col>
          <xdr:colOff>635000</xdr:colOff>
          <xdr:row>35</xdr:row>
          <xdr:rowOff>0</xdr:rowOff>
        </xdr:to>
        <xdr:sp macro="" textlink="">
          <xdr:nvSpPr>
            <xdr:cNvPr id="2058" name="Drop Dow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6350</xdr:colOff>
      <xdr:row>42</xdr:row>
      <xdr:rowOff>12700</xdr:rowOff>
    </xdr:from>
    <xdr:to>
      <xdr:col>12</xdr:col>
      <xdr:colOff>0</xdr:colOff>
      <xdr:row>53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0D0877-D379-9341-F6B8-4E88D5C83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73</xdr:row>
      <xdr:rowOff>139700</xdr:rowOff>
    </xdr:from>
    <xdr:to>
      <xdr:col>12</xdr:col>
      <xdr:colOff>10668</xdr:colOff>
      <xdr:row>84</xdr:row>
      <xdr:rowOff>174752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D4371-9B01-F248-9A90-49D5E66A6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482600</xdr:colOff>
          <xdr:row>85</xdr:row>
          <xdr:rowOff>12700</xdr:rowOff>
        </xdr:from>
        <xdr:to>
          <xdr:col>3</xdr:col>
          <xdr:colOff>749300</xdr:colOff>
          <xdr:row>86</xdr:row>
          <xdr:rowOff>12700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279400</xdr:colOff>
          <xdr:row>137</xdr:row>
          <xdr:rowOff>177800</xdr:rowOff>
        </xdr:from>
        <xdr:to>
          <xdr:col>4</xdr:col>
          <xdr:colOff>546100</xdr:colOff>
          <xdr:row>138</xdr:row>
          <xdr:rowOff>177800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4CA2-F079-43DD-A2A9-24BA59CB16B2}">
  <sheetPr>
    <pageSetUpPr fitToPage="1"/>
  </sheetPr>
  <dimension ref="B1:Q20"/>
  <sheetViews>
    <sheetView showGridLines="0" tabSelected="1" zoomScaleNormal="100" zoomScaleSheetLayoutView="85" workbookViewId="0">
      <selection activeCell="B13" sqref="B13"/>
    </sheetView>
  </sheetViews>
  <sheetFormatPr baseColWidth="10" defaultColWidth="9.1640625" defaultRowHeight="19.5" customHeight="1"/>
  <cols>
    <col min="1" max="1" width="8.6640625" style="344" customWidth="1"/>
    <col min="2" max="2" width="36.6640625" style="344" customWidth="1"/>
    <col min="3" max="10" width="10.6640625" style="344" customWidth="1"/>
    <col min="11" max="11" width="26.6640625" style="344" customWidth="1"/>
    <col min="12" max="12" width="10.6640625" style="344" customWidth="1"/>
    <col min="13" max="13" width="4.83203125" style="344" customWidth="1"/>
    <col min="14" max="14" width="9.1640625" style="344" customWidth="1"/>
    <col min="15" max="16384" width="9.1640625" style="344"/>
  </cols>
  <sheetData>
    <row r="1" spans="2:17" s="293" customFormat="1" ht="50" customHeight="1">
      <c r="B1" s="352" t="s">
        <v>151</v>
      </c>
      <c r="C1" s="291"/>
      <c r="D1" s="292"/>
      <c r="E1" s="292"/>
      <c r="F1" s="292"/>
      <c r="G1" s="292"/>
      <c r="H1" s="292"/>
      <c r="I1" s="343"/>
      <c r="J1" s="292"/>
      <c r="K1" s="292"/>
      <c r="L1" s="292"/>
      <c r="M1" s="292"/>
      <c r="N1" s="292"/>
      <c r="O1" s="292"/>
      <c r="P1" s="292"/>
      <c r="Q1" s="291"/>
    </row>
    <row r="3" spans="2:17" ht="19.5" customHeight="1">
      <c r="B3" s="345" t="s">
        <v>4</v>
      </c>
      <c r="C3" s="346"/>
      <c r="D3" s="346"/>
      <c r="E3" s="346"/>
      <c r="F3" s="346"/>
      <c r="G3" s="347"/>
      <c r="H3" s="348"/>
      <c r="I3" s="348"/>
      <c r="J3" s="348"/>
      <c r="K3" s="349"/>
      <c r="L3" s="350"/>
    </row>
    <row r="4" spans="2:17" ht="19.5" customHeight="1">
      <c r="C4" s="346"/>
      <c r="D4" s="346"/>
      <c r="E4" s="346"/>
      <c r="F4" s="346"/>
      <c r="G4" s="346"/>
      <c r="H4" s="346"/>
      <c r="I4" s="346"/>
      <c r="J4" s="346"/>
      <c r="K4" s="346"/>
      <c r="L4" s="346"/>
    </row>
    <row r="5" spans="2:17" ht="19.5" customHeight="1">
      <c r="B5" s="7" t="s">
        <v>3</v>
      </c>
      <c r="C5" s="346"/>
      <c r="D5" s="346"/>
      <c r="E5" s="346"/>
      <c r="F5" s="346"/>
      <c r="G5" s="5"/>
      <c r="L5" s="4"/>
    </row>
    <row r="6" spans="2:17" ht="19.5" customHeight="1">
      <c r="B6" s="7" t="s">
        <v>2</v>
      </c>
      <c r="C6" s="346"/>
      <c r="D6" s="346"/>
      <c r="E6" s="346"/>
      <c r="F6" s="346"/>
      <c r="G6" s="5"/>
      <c r="L6" s="4"/>
    </row>
    <row r="7" spans="2:17" ht="19.5" customHeight="1">
      <c r="B7" s="7" t="s">
        <v>1</v>
      </c>
      <c r="C7" s="346"/>
      <c r="D7" s="346"/>
      <c r="E7" s="346"/>
      <c r="F7" s="346"/>
      <c r="G7" s="5"/>
      <c r="L7" s="4"/>
    </row>
    <row r="8" spans="2:17" ht="19.5" customHeight="1">
      <c r="B8" s="6"/>
      <c r="C8" s="346"/>
      <c r="D8" s="346"/>
      <c r="E8" s="346"/>
      <c r="F8" s="346"/>
      <c r="G8" s="5"/>
      <c r="K8" s="5"/>
      <c r="L8" s="4"/>
    </row>
    <row r="9" spans="2:17" ht="19.5" customHeight="1">
      <c r="B9" s="6"/>
      <c r="C9" s="346"/>
      <c r="D9" s="346"/>
      <c r="E9" s="346"/>
      <c r="F9" s="346"/>
      <c r="G9" s="5"/>
      <c r="K9" s="5"/>
      <c r="L9" s="4"/>
    </row>
    <row r="10" spans="2:17" ht="19.5" customHeight="1">
      <c r="B10" s="3"/>
      <c r="C10" s="346"/>
      <c r="D10" s="346"/>
      <c r="E10" s="346"/>
      <c r="F10" s="346"/>
      <c r="G10" s="5"/>
      <c r="K10" s="5"/>
      <c r="L10" s="4"/>
    </row>
    <row r="11" spans="2:17" ht="19.5" customHeight="1">
      <c r="B11" s="3"/>
      <c r="C11" s="346"/>
      <c r="D11" s="346"/>
      <c r="E11" s="346"/>
      <c r="F11" s="346"/>
      <c r="G11" s="5"/>
      <c r="K11" s="5"/>
      <c r="L11" s="4"/>
    </row>
    <row r="12" spans="2:17" ht="19.5" customHeight="1">
      <c r="B12" s="3"/>
      <c r="C12" s="346"/>
      <c r="D12" s="346"/>
      <c r="E12" s="346"/>
      <c r="F12" s="346"/>
      <c r="G12" s="5"/>
      <c r="K12" s="5"/>
      <c r="L12" s="4"/>
    </row>
    <row r="13" spans="2:17" ht="19.5" customHeight="1">
      <c r="B13" s="3"/>
      <c r="C13" s="346"/>
      <c r="D13" s="346"/>
      <c r="E13" s="346"/>
      <c r="F13" s="346"/>
    </row>
    <row r="14" spans="2:17" ht="19.5" customHeight="1">
      <c r="B14" s="3"/>
      <c r="C14" s="346"/>
      <c r="D14" s="346"/>
      <c r="E14" s="346"/>
      <c r="F14" s="346"/>
    </row>
    <row r="15" spans="2:17" ht="19.5" customHeight="1">
      <c r="B15" s="3"/>
      <c r="C15" s="346"/>
      <c r="D15" s="346"/>
      <c r="E15" s="346"/>
      <c r="F15" s="346"/>
      <c r="G15" s="346"/>
      <c r="H15" s="346"/>
      <c r="I15" s="346"/>
      <c r="J15" s="346"/>
      <c r="K15" s="346"/>
      <c r="L15" s="346"/>
    </row>
    <row r="16" spans="2:17" ht="19.5" customHeight="1">
      <c r="B16" s="351"/>
      <c r="C16" s="346"/>
      <c r="D16" s="346"/>
      <c r="E16" s="346"/>
      <c r="F16" s="346"/>
      <c r="G16" s="346"/>
      <c r="H16" s="346"/>
      <c r="I16" s="346"/>
      <c r="J16" s="346"/>
      <c r="K16" s="346"/>
      <c r="L16" s="346"/>
    </row>
    <row r="17" spans="2:12" ht="19.5" customHeight="1">
      <c r="B17" s="351"/>
      <c r="C17" s="346"/>
      <c r="D17" s="346"/>
      <c r="E17" s="346"/>
      <c r="F17" s="346"/>
      <c r="G17" s="346"/>
      <c r="H17" s="346"/>
      <c r="I17" s="346"/>
      <c r="J17" s="346"/>
      <c r="K17" s="346"/>
      <c r="L17" s="346"/>
    </row>
    <row r="18" spans="2:12" ht="19.5" customHeight="1">
      <c r="B18" s="2"/>
      <c r="C18" s="346"/>
      <c r="D18" s="346"/>
      <c r="E18" s="346"/>
      <c r="F18" s="346"/>
      <c r="G18" s="346"/>
      <c r="H18" s="346"/>
      <c r="I18" s="346"/>
      <c r="J18" s="346"/>
      <c r="K18" s="346"/>
      <c r="L18" s="346"/>
    </row>
    <row r="19" spans="2:12" ht="19.5" customHeight="1">
      <c r="B19" s="1"/>
      <c r="C19" s="346"/>
      <c r="D19" s="346"/>
      <c r="E19" s="346"/>
      <c r="F19" s="346"/>
      <c r="G19" s="346"/>
      <c r="H19" s="346"/>
      <c r="I19" s="346"/>
      <c r="J19" s="346"/>
      <c r="K19" s="346"/>
      <c r="L19" s="346"/>
    </row>
    <row r="20" spans="2:12" ht="19.5" customHeight="1">
      <c r="B20" s="1"/>
      <c r="C20" s="346"/>
      <c r="D20" s="346"/>
      <c r="E20" s="346"/>
      <c r="F20" s="346"/>
      <c r="G20" s="346"/>
      <c r="H20" s="346"/>
      <c r="I20" s="346"/>
      <c r="J20" s="346"/>
      <c r="K20" s="346"/>
      <c r="L20" s="346"/>
    </row>
  </sheetData>
  <conditionalFormatting sqref="L5:L11">
    <cfRule type="expression" dxfId="0" priority="1">
      <formula>L5=1</formula>
    </cfRule>
  </conditionalFormatting>
  <hyperlinks>
    <hyperlink ref="B5" location="Outputs!A1" tooltip="Outputs" display="Outputs" xr:uid="{A649F495-19F2-4154-A191-185942260223}"/>
    <hyperlink ref="B6:B7" location="Model!A1" display="Cover" xr:uid="{AD192172-2C16-47DC-9EC5-60B251707DB4}"/>
    <hyperlink ref="B6" location="Inputs!A1" tooltip="Inputs" display="Inputs" xr:uid="{2454690D-0468-45F9-975C-1B285F082D40}"/>
    <hyperlink ref="B7" location="Model!A1" tooltip="Model" display="Model" xr:uid="{48B6152A-C18E-4960-9475-E04AA9DDFF55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9589-1065-45B8-B4BE-6975FB30BFBC}">
  <sheetPr>
    <pageSetUpPr autoPageBreaks="0"/>
  </sheetPr>
  <dimension ref="A1:AS221"/>
  <sheetViews>
    <sheetView showGridLines="0" zoomScaleNormal="100" zoomScaleSheetLayoutView="95" workbookViewId="0">
      <pane ySplit="1" topLeftCell="A2" activePane="bottomLeft" state="frozen"/>
      <selection pane="bottomLeft" activeCell="G5" sqref="G5"/>
    </sheetView>
  </sheetViews>
  <sheetFormatPr baseColWidth="10" defaultColWidth="9.1640625" defaultRowHeight="15" outlineLevelRow="1"/>
  <cols>
    <col min="1" max="1" width="8.6640625" style="8" customWidth="1"/>
    <col min="2" max="16" width="10.33203125" style="8" customWidth="1"/>
    <col min="17" max="17" width="10.1640625" style="8" customWidth="1"/>
    <col min="18" max="16384" width="9.1640625" style="8"/>
  </cols>
  <sheetData>
    <row r="1" spans="1:22" s="293" customFormat="1" ht="50" customHeight="1">
      <c r="B1" s="352" t="s">
        <v>3</v>
      </c>
      <c r="C1" s="291"/>
      <c r="D1" s="291"/>
      <c r="E1" s="292"/>
      <c r="F1" s="292"/>
      <c r="G1" s="292"/>
      <c r="H1" s="292"/>
      <c r="I1" s="292"/>
      <c r="J1" s="294"/>
      <c r="K1" s="292"/>
      <c r="L1" s="292"/>
      <c r="M1" s="292"/>
      <c r="N1" s="292"/>
      <c r="O1" s="292"/>
      <c r="P1" s="292"/>
      <c r="Q1" s="292"/>
      <c r="R1" s="291"/>
      <c r="S1" s="291"/>
      <c r="T1" s="291"/>
      <c r="U1" s="291"/>
    </row>
    <row r="2" spans="1:22" ht="15" customHeight="1"/>
    <row r="3" spans="1:22" ht="15" customHeight="1">
      <c r="A3" s="115" t="s">
        <v>0</v>
      </c>
      <c r="B3" s="108" t="s">
        <v>281</v>
      </c>
      <c r="C3" s="107"/>
      <c r="D3" s="107"/>
      <c r="E3" s="106"/>
      <c r="F3" s="106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2"/>
      <c r="S3" s="102"/>
      <c r="T3" s="102"/>
      <c r="U3" s="102"/>
      <c r="V3" s="102"/>
    </row>
    <row r="4" spans="1:22" ht="15" customHeight="1" outlineLevel="1"/>
    <row r="5" spans="1:22" ht="15" customHeight="1" outlineLevel="1"/>
    <row r="6" spans="1:22" ht="15" customHeight="1" outlineLevel="1">
      <c r="B6" s="65" t="s">
        <v>24</v>
      </c>
      <c r="E6" s="8">
        <v>2</v>
      </c>
    </row>
    <row r="7" spans="1:22" ht="15" customHeight="1" outlineLevel="1">
      <c r="B7" s="65"/>
    </row>
    <row r="8" spans="1:22" ht="15" customHeight="1" outlineLevel="1">
      <c r="B8" s="366" t="s">
        <v>282</v>
      </c>
      <c r="C8" s="366"/>
      <c r="D8" s="366"/>
      <c r="E8" s="563" t="s">
        <v>283</v>
      </c>
      <c r="F8" s="563"/>
      <c r="G8" s="563" t="s">
        <v>284</v>
      </c>
      <c r="H8" s="563"/>
      <c r="I8" s="563" t="s">
        <v>285</v>
      </c>
    </row>
    <row r="9" spans="1:22" ht="15" customHeight="1" outlineLevel="1">
      <c r="B9" s="65"/>
    </row>
    <row r="10" spans="1:22" ht="15" customHeight="1" outlineLevel="1">
      <c r="B10" s="65" t="s">
        <v>286</v>
      </c>
      <c r="E10" s="559">
        <f>E24</f>
        <v>0.15763643383979803</v>
      </c>
      <c r="F10" s="560"/>
      <c r="G10" s="559">
        <f>E23</f>
        <v>0.19776594042778017</v>
      </c>
      <c r="H10" s="560"/>
      <c r="I10" s="559">
        <f>E25</f>
        <v>0.11510612368583678</v>
      </c>
    </row>
    <row r="11" spans="1:22" ht="15" customHeight="1" outlineLevel="1">
      <c r="B11" s="65" t="s">
        <v>287</v>
      </c>
      <c r="E11" s="561">
        <f>F24</f>
        <v>3691.4990702827049</v>
      </c>
      <c r="F11" s="560"/>
      <c r="G11" s="561">
        <f>F23</f>
        <v>6131.7113651868303</v>
      </c>
      <c r="H11" s="560"/>
      <c r="I11" s="561">
        <f>F25</f>
        <v>1442.858868995309</v>
      </c>
    </row>
    <row r="12" spans="1:22" ht="15" customHeight="1" outlineLevel="1">
      <c r="B12" s="65" t="s">
        <v>275</v>
      </c>
      <c r="E12" s="562">
        <f>G24</f>
        <v>10</v>
      </c>
      <c r="F12" s="560"/>
      <c r="G12" s="562">
        <f>G23</f>
        <v>9</v>
      </c>
      <c r="H12" s="560"/>
      <c r="I12" s="562">
        <f>G25</f>
        <v>11</v>
      </c>
    </row>
    <row r="13" spans="1:22" ht="15" customHeight="1" outlineLevel="1">
      <c r="B13" s="65" t="s">
        <v>288</v>
      </c>
      <c r="E13" s="559">
        <f>I24</f>
        <v>0.24078388672331785</v>
      </c>
      <c r="F13" s="560"/>
      <c r="G13" s="559">
        <f>I23</f>
        <v>0.29766379481832361</v>
      </c>
      <c r="H13" s="560"/>
      <c r="I13" s="559">
        <f>I25</f>
        <v>0.18345985927787581</v>
      </c>
    </row>
    <row r="14" spans="1:22" ht="15" customHeight="1" outlineLevel="1">
      <c r="B14" s="65"/>
      <c r="E14" s="91"/>
      <c r="F14" s="91"/>
      <c r="G14" s="91"/>
      <c r="H14" s="91"/>
      <c r="I14" s="91"/>
    </row>
    <row r="15" spans="1:22" ht="15" customHeight="1" outlineLevel="1">
      <c r="B15" s="65"/>
    </row>
    <row r="16" spans="1:22" ht="15" customHeight="1" outlineLevel="1">
      <c r="B16" s="527" t="s">
        <v>290</v>
      </c>
    </row>
    <row r="17" spans="1:22" ht="15" customHeight="1" outlineLevel="1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22" ht="15" customHeight="1">
      <c r="B18" s="65"/>
    </row>
    <row r="19" spans="1:22" ht="15" customHeight="1">
      <c r="A19" s="115" t="s">
        <v>0</v>
      </c>
      <c r="B19" s="108" t="s">
        <v>289</v>
      </c>
      <c r="C19" s="107"/>
      <c r="D19" s="107"/>
      <c r="E19" s="106"/>
      <c r="F19" s="106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2"/>
      <c r="S19" s="102"/>
      <c r="T19" s="102"/>
      <c r="U19" s="102"/>
      <c r="V19" s="102"/>
    </row>
    <row r="20" spans="1:22" ht="15" customHeight="1" outlineLevel="1">
      <c r="B20" s="65"/>
    </row>
    <row r="21" spans="1:22" ht="16" customHeight="1" outlineLevel="1">
      <c r="D21" s="541"/>
      <c r="E21" s="565" t="s">
        <v>274</v>
      </c>
      <c r="F21" s="565" t="s">
        <v>190</v>
      </c>
      <c r="G21" s="565" t="s">
        <v>275</v>
      </c>
      <c r="H21" s="565" t="s">
        <v>277</v>
      </c>
      <c r="I21" s="565" t="s">
        <v>276</v>
      </c>
      <c r="J21" s="565" t="s">
        <v>291</v>
      </c>
      <c r="K21" s="565" t="s">
        <v>278</v>
      </c>
      <c r="L21" s="565" t="s">
        <v>230</v>
      </c>
      <c r="M21" s="565"/>
      <c r="N21" s="565"/>
    </row>
    <row r="22" spans="1:22" s="540" customFormat="1" ht="15" customHeight="1" outlineLevel="1">
      <c r="E22" s="543">
        <f>Model!$F$191</f>
        <v>0.15763643383979803</v>
      </c>
      <c r="F22" s="544">
        <f>Model!F193</f>
        <v>3691.4990702827049</v>
      </c>
      <c r="G22" s="545">
        <f>Model!$F$195</f>
        <v>10</v>
      </c>
      <c r="H22" s="543">
        <f>Model!H93</f>
        <v>0.32639732131182531</v>
      </c>
      <c r="I22" s="543">
        <f>Model!H98</f>
        <v>0.24078388672331785</v>
      </c>
      <c r="J22" s="543">
        <f>Model!F305</f>
        <v>0.24344133734703058</v>
      </c>
      <c r="K22" s="546">
        <f>Model!H261</f>
        <v>1.7492787762701834</v>
      </c>
      <c r="L22" s="546">
        <f>Model!H267</f>
        <v>1.5304267478827798</v>
      </c>
      <c r="M22" s="541"/>
      <c r="N22" s="541"/>
      <c r="O22" s="541"/>
    </row>
    <row r="23" spans="1:22" ht="15" customHeight="1" outlineLevel="1">
      <c r="B23" s="547" t="s">
        <v>29</v>
      </c>
      <c r="C23" s="548"/>
      <c r="D23" s="628">
        <v>1</v>
      </c>
      <c r="E23" s="614">
        <f t="dataTable" ref="E23:L25" dt2D="0" dtr="0" r1="E6" ca="1"/>
        <v>0.19776594042778017</v>
      </c>
      <c r="F23" s="615">
        <v>6131.7113651868303</v>
      </c>
      <c r="G23" s="616">
        <v>9</v>
      </c>
      <c r="H23" s="617">
        <v>0.38200671137054915</v>
      </c>
      <c r="I23" s="617">
        <v>0.29766379481832361</v>
      </c>
      <c r="J23" s="614">
        <v>0.31591262221336358</v>
      </c>
      <c r="K23" s="549">
        <v>2.2079642964727975</v>
      </c>
      <c r="L23" s="625">
        <v>1.9641053863628328</v>
      </c>
      <c r="M23" s="541"/>
      <c r="N23" s="541"/>
      <c r="O23" s="541"/>
    </row>
    <row r="24" spans="1:22" ht="15" customHeight="1" outlineLevel="1">
      <c r="B24" s="618" t="s">
        <v>28</v>
      </c>
      <c r="D24" s="540">
        <v>2</v>
      </c>
      <c r="E24" s="619">
        <v>0.15763643383979803</v>
      </c>
      <c r="F24" s="555">
        <v>3691.4990702827049</v>
      </c>
      <c r="G24" s="556">
        <v>10</v>
      </c>
      <c r="H24" s="554">
        <v>0.32639732131182531</v>
      </c>
      <c r="I24" s="554">
        <v>0.24078388672331785</v>
      </c>
      <c r="J24" s="619">
        <v>0.24344133734703058</v>
      </c>
      <c r="K24" s="557">
        <v>1.7492787762701834</v>
      </c>
      <c r="L24" s="626">
        <v>1.5304267478827798</v>
      </c>
      <c r="M24" s="541"/>
      <c r="N24" s="541"/>
      <c r="O24" s="541"/>
    </row>
    <row r="25" spans="1:22" ht="15" customHeight="1" outlineLevel="1">
      <c r="B25" s="620" t="s">
        <v>27</v>
      </c>
      <c r="C25" s="475"/>
      <c r="D25" s="629">
        <v>3</v>
      </c>
      <c r="E25" s="621">
        <v>0.11510612368583678</v>
      </c>
      <c r="F25" s="622">
        <v>1442.858868995309</v>
      </c>
      <c r="G25" s="623">
        <v>11</v>
      </c>
      <c r="H25" s="624">
        <v>0.27027232880012925</v>
      </c>
      <c r="I25" s="624">
        <v>0.18345985927787581</v>
      </c>
      <c r="J25" s="621">
        <v>0.16723693013191221</v>
      </c>
      <c r="K25" s="550">
        <v>1.3250551013164324</v>
      </c>
      <c r="L25" s="627">
        <v>1.130780426352443</v>
      </c>
      <c r="M25" s="541"/>
      <c r="N25" s="541"/>
      <c r="O25" s="541"/>
    </row>
    <row r="26" spans="1:22" ht="15" customHeight="1" outlineLevel="1">
      <c r="B26" s="111"/>
      <c r="D26" s="553"/>
      <c r="E26" s="554"/>
      <c r="F26" s="555"/>
      <c r="G26" s="556"/>
      <c r="H26" s="554"/>
      <c r="I26" s="554"/>
      <c r="J26" s="557"/>
      <c r="K26" s="557"/>
      <c r="L26" s="558"/>
      <c r="M26" s="541"/>
      <c r="N26" s="541"/>
      <c r="O26" s="541"/>
    </row>
    <row r="27" spans="1:22" ht="15" customHeight="1" outlineLevel="1">
      <c r="B27" s="111"/>
      <c r="D27" s="553"/>
      <c r="E27" s="554"/>
      <c r="F27" s="555"/>
      <c r="G27" s="556"/>
      <c r="H27" s="554"/>
      <c r="I27" s="554"/>
      <c r="J27" s="557"/>
      <c r="K27" s="557"/>
      <c r="L27" s="558"/>
    </row>
    <row r="28" spans="1:22" ht="15" customHeight="1" outlineLevel="1">
      <c r="B28" s="527" t="s">
        <v>294</v>
      </c>
      <c r="D28" s="553"/>
      <c r="E28" s="554"/>
      <c r="F28" s="555"/>
      <c r="G28" s="556"/>
      <c r="H28" s="554"/>
      <c r="I28" s="554"/>
      <c r="J28" s="557"/>
      <c r="K28" s="557"/>
      <c r="L28" s="558"/>
    </row>
    <row r="29" spans="1:22" ht="15" customHeight="1" outlineLevel="1">
      <c r="B29" s="527" t="s">
        <v>293</v>
      </c>
      <c r="D29" s="553"/>
      <c r="E29" s="554"/>
      <c r="F29" s="555"/>
      <c r="G29" s="556"/>
      <c r="H29" s="554"/>
      <c r="I29" s="554"/>
      <c r="J29" s="557"/>
      <c r="K29" s="557"/>
      <c r="L29" s="558"/>
    </row>
    <row r="30" spans="1:22" ht="15" customHeight="1" outlineLevel="1">
      <c r="B30" s="527" t="s">
        <v>292</v>
      </c>
      <c r="D30" s="553"/>
      <c r="E30" s="554"/>
      <c r="F30" s="555"/>
      <c r="G30" s="556"/>
      <c r="H30" s="554"/>
      <c r="I30" s="554"/>
      <c r="J30" s="557"/>
      <c r="K30" s="557"/>
      <c r="L30" s="558"/>
    </row>
    <row r="31" spans="1:22" ht="15" customHeight="1" outlineLevel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2" ht="15" customHeight="1">
      <c r="B32" s="111"/>
      <c r="D32" s="553"/>
      <c r="E32" s="554"/>
      <c r="F32" s="555"/>
      <c r="G32" s="556"/>
      <c r="H32" s="554"/>
      <c r="I32" s="554"/>
      <c r="J32" s="557"/>
      <c r="K32" s="557"/>
      <c r="L32" s="558"/>
    </row>
    <row r="33" spans="1:28" ht="15" customHeight="1">
      <c r="A33" s="115" t="s">
        <v>0</v>
      </c>
      <c r="B33" s="108" t="s">
        <v>295</v>
      </c>
      <c r="C33" s="107"/>
      <c r="D33" s="107"/>
      <c r="E33" s="106"/>
      <c r="F33" s="106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2"/>
      <c r="S33" s="102"/>
      <c r="T33" s="102"/>
      <c r="U33" s="102"/>
      <c r="V33" s="102"/>
    </row>
    <row r="34" spans="1:28" ht="15" customHeight="1" outlineLevel="1">
      <c r="B34" s="111"/>
      <c r="D34" s="553"/>
      <c r="E34" s="554"/>
      <c r="F34" s="555"/>
      <c r="G34" s="556"/>
      <c r="H34" s="554"/>
      <c r="I34" s="554"/>
      <c r="J34" s="557"/>
      <c r="K34" s="557"/>
      <c r="L34" s="558"/>
    </row>
    <row r="35" spans="1:28" ht="15" customHeight="1" outlineLevel="1">
      <c r="B35" s="65" t="s">
        <v>24</v>
      </c>
      <c r="D35" s="553"/>
      <c r="E35" s="566">
        <v>2</v>
      </c>
      <c r="F35" s="555"/>
      <c r="G35" s="556"/>
      <c r="H35" s="554"/>
      <c r="I35" s="554"/>
      <c r="J35" s="557"/>
      <c r="K35" s="557"/>
      <c r="L35" s="558"/>
    </row>
    <row r="36" spans="1:28" ht="15" customHeight="1" outlineLevel="1">
      <c r="B36" s="111"/>
      <c r="D36" s="553"/>
      <c r="E36" s="554"/>
      <c r="F36" s="555"/>
      <c r="G36" s="556"/>
      <c r="H36" s="554"/>
      <c r="I36" s="554"/>
      <c r="J36" s="557"/>
      <c r="K36" s="557"/>
      <c r="L36" s="558"/>
    </row>
    <row r="37" spans="1:28" ht="15" customHeight="1" outlineLevel="1">
      <c r="B37" s="111"/>
      <c r="D37" s="553"/>
      <c r="E37" s="554"/>
      <c r="F37" s="555"/>
      <c r="G37" s="556"/>
      <c r="H37" s="554"/>
      <c r="I37" s="554"/>
      <c r="J37" s="557"/>
      <c r="K37" s="557"/>
      <c r="L37" s="558"/>
    </row>
    <row r="38" spans="1:28" ht="15" customHeight="1" outlineLevel="1">
      <c r="B38" s="366" t="s">
        <v>282</v>
      </c>
      <c r="C38" s="366"/>
      <c r="D38" s="366"/>
      <c r="E38" s="366" t="s">
        <v>296</v>
      </c>
      <c r="F38" s="366"/>
      <c r="G38" s="366" t="s">
        <v>291</v>
      </c>
      <c r="H38" s="366"/>
      <c r="I38" s="366" t="s">
        <v>278</v>
      </c>
      <c r="J38" s="366"/>
      <c r="K38" s="366" t="s">
        <v>297</v>
      </c>
      <c r="L38" s="366"/>
      <c r="M38" s="366" t="s">
        <v>58</v>
      </c>
      <c r="N38" s="366" t="s">
        <v>19</v>
      </c>
    </row>
    <row r="39" spans="1:28" ht="15" customHeight="1" outlineLevel="1">
      <c r="B39" s="111"/>
      <c r="D39" s="567"/>
      <c r="E39" s="568">
        <f>Model!F191</f>
        <v>0.15763643383979803</v>
      </c>
      <c r="F39" s="570"/>
      <c r="G39" s="568">
        <f>Model!F305</f>
        <v>0.24344133734703058</v>
      </c>
      <c r="H39" s="570"/>
      <c r="I39" s="569">
        <f>Model!H261</f>
        <v>1.7492787762701834</v>
      </c>
    </row>
    <row r="40" spans="1:28" ht="15" customHeight="1" outlineLevel="1">
      <c r="B40" s="547" t="s">
        <v>176</v>
      </c>
      <c r="C40" s="548"/>
      <c r="D40" s="575">
        <v>1</v>
      </c>
      <c r="E40" s="576">
        <f t="dataTable" ref="E40:I41" dt2D="0" dtr="0" r1="E35"/>
        <v>0.13305476307868958</v>
      </c>
      <c r="F40" s="577">
        <v>0</v>
      </c>
      <c r="G40" s="576">
        <v>0.20486776232719422</v>
      </c>
      <c r="H40" s="577">
        <v>0</v>
      </c>
      <c r="I40" s="549">
        <v>1.6108536697034472</v>
      </c>
      <c r="J40" s="548"/>
      <c r="K40" s="578" t="s">
        <v>298</v>
      </c>
      <c r="L40" s="579"/>
      <c r="M40" s="589">
        <f>Inputs!$K$35</f>
        <v>0.6</v>
      </c>
      <c r="N40" s="589">
        <f>Inputs!$K$36</f>
        <v>0.4</v>
      </c>
    </row>
    <row r="41" spans="1:28" ht="15" customHeight="1" outlineLevel="1">
      <c r="B41" s="580" t="s">
        <v>195</v>
      </c>
      <c r="C41" s="581"/>
      <c r="D41" s="582">
        <v>2</v>
      </c>
      <c r="E41" s="583">
        <v>0.15763643383979803</v>
      </c>
      <c r="F41" s="584">
        <v>0</v>
      </c>
      <c r="G41" s="585">
        <v>0.24344133734703058</v>
      </c>
      <c r="H41" s="584">
        <v>0</v>
      </c>
      <c r="I41" s="550">
        <v>1.7492787762701834</v>
      </c>
      <c r="J41" s="586"/>
      <c r="K41" s="587" t="s">
        <v>299</v>
      </c>
      <c r="L41" s="588"/>
      <c r="M41" s="589">
        <f>Inputs!$K$35</f>
        <v>0.6</v>
      </c>
      <c r="N41" s="589">
        <f>Inputs!$K$36</f>
        <v>0.4</v>
      </c>
    </row>
    <row r="42" spans="1:28" ht="15" customHeight="1" outlineLevel="1">
      <c r="B42" s="111"/>
      <c r="D42" s="564"/>
      <c r="E42" s="554"/>
      <c r="F42" s="555"/>
      <c r="G42" s="556"/>
      <c r="H42" s="554"/>
      <c r="I42" s="554"/>
      <c r="J42" s="557"/>
      <c r="K42" s="557"/>
      <c r="L42" s="558"/>
    </row>
    <row r="43" spans="1:28" ht="15" customHeight="1" outlineLevel="1">
      <c r="B43" s="111"/>
      <c r="D43" s="553"/>
      <c r="E43" s="554"/>
      <c r="F43" s="555"/>
      <c r="G43" s="556"/>
      <c r="H43" s="554"/>
      <c r="I43" s="554"/>
      <c r="L43" s="558"/>
    </row>
    <row r="44" spans="1:28" ht="15" customHeight="1" outlineLevel="1" thickBot="1">
      <c r="B44" s="111"/>
      <c r="D44" s="553"/>
      <c r="E44" s="554"/>
      <c r="F44" s="555"/>
      <c r="G44" s="556"/>
      <c r="H44" s="554"/>
      <c r="I44" s="554"/>
      <c r="L44" s="558"/>
      <c r="X44" s="383">
        <v>2025</v>
      </c>
      <c r="Y44" s="217">
        <f>X44+1</f>
        <v>2026</v>
      </c>
      <c r="Z44" s="217">
        <f t="shared" ref="Z44:AB44" si="0">Y44+1</f>
        <v>2027</v>
      </c>
      <c r="AA44" s="217">
        <f t="shared" si="0"/>
        <v>2028</v>
      </c>
      <c r="AB44" s="217">
        <f t="shared" si="0"/>
        <v>2029</v>
      </c>
    </row>
    <row r="45" spans="1:28" ht="15" customHeight="1" outlineLevel="1">
      <c r="B45" s="111"/>
      <c r="D45" s="553"/>
      <c r="E45" s="554"/>
      <c r="F45" s="555"/>
      <c r="G45" s="556"/>
      <c r="H45" s="554"/>
      <c r="I45" s="554"/>
      <c r="L45" s="558"/>
      <c r="W45" s="547" t="s">
        <v>176</v>
      </c>
      <c r="X45" s="472">
        <f>Inputs!F143</f>
        <v>5500</v>
      </c>
      <c r="Y45" s="472">
        <f>Inputs!G143</f>
        <v>0</v>
      </c>
      <c r="Z45" s="472">
        <f>Inputs!H143</f>
        <v>0</v>
      </c>
      <c r="AA45" s="472">
        <f>Inputs!I143</f>
        <v>0</v>
      </c>
      <c r="AB45" s="472">
        <f>Inputs!J143</f>
        <v>0</v>
      </c>
    </row>
    <row r="46" spans="1:28" ht="15" customHeight="1" outlineLevel="1">
      <c r="B46" s="111"/>
      <c r="D46" s="553"/>
      <c r="E46" s="554"/>
      <c r="F46" s="555"/>
      <c r="G46" s="556"/>
      <c r="H46" s="554"/>
      <c r="I46" s="554"/>
      <c r="L46" s="558"/>
      <c r="W46" s="580" t="s">
        <v>300</v>
      </c>
      <c r="X46" s="572">
        <f>Inputs!F144</f>
        <v>1500</v>
      </c>
      <c r="Y46" s="572">
        <f>Inputs!G144</f>
        <v>1500</v>
      </c>
      <c r="Z46" s="572">
        <f>Inputs!H144</f>
        <v>1000</v>
      </c>
      <c r="AA46" s="572">
        <f>Inputs!I144</f>
        <v>1000</v>
      </c>
      <c r="AB46" s="572">
        <f>Inputs!J144</f>
        <v>500</v>
      </c>
    </row>
    <row r="47" spans="1:28" ht="15" customHeight="1" outlineLevel="1">
      <c r="B47" s="111"/>
      <c r="D47" s="553"/>
      <c r="E47" s="554"/>
      <c r="F47" s="555"/>
      <c r="G47" s="556"/>
      <c r="H47" s="554"/>
      <c r="I47" s="554"/>
      <c r="J47" s="557"/>
      <c r="K47" s="557"/>
      <c r="L47" s="558"/>
    </row>
    <row r="48" spans="1:28" ht="15" customHeight="1" outlineLevel="1">
      <c r="B48" s="111"/>
      <c r="D48" s="553"/>
      <c r="E48" s="554"/>
      <c r="F48" s="555"/>
      <c r="G48" s="556"/>
      <c r="H48" s="554"/>
      <c r="I48" s="554"/>
      <c r="J48" s="557"/>
      <c r="K48" s="557"/>
      <c r="L48" s="558"/>
    </row>
    <row r="49" spans="1:22" ht="15" customHeight="1" outlineLevel="1">
      <c r="B49" s="111"/>
      <c r="D49" s="553"/>
      <c r="E49" s="554"/>
      <c r="F49" s="555"/>
      <c r="G49" s="556"/>
      <c r="H49" s="554"/>
      <c r="I49" s="554"/>
      <c r="J49" s="557"/>
      <c r="K49" s="557"/>
      <c r="L49" s="558"/>
    </row>
    <row r="50" spans="1:22" ht="15" customHeight="1" outlineLevel="1">
      <c r="B50" s="111"/>
      <c r="D50" s="553"/>
      <c r="E50" s="554"/>
      <c r="F50" s="555"/>
      <c r="G50" s="556"/>
      <c r="H50" s="554"/>
      <c r="I50" s="554"/>
      <c r="J50" s="557"/>
      <c r="K50" s="557"/>
      <c r="L50" s="558"/>
    </row>
    <row r="51" spans="1:22" ht="15" customHeight="1" outlineLevel="1">
      <c r="B51" s="111"/>
      <c r="D51" s="542"/>
      <c r="E51" s="541"/>
      <c r="F51" s="541"/>
      <c r="G51" s="541"/>
      <c r="H51" s="541"/>
      <c r="I51" s="541"/>
      <c r="J51" s="541"/>
      <c r="K51" s="541"/>
      <c r="L51" s="541"/>
      <c r="M51" s="541"/>
      <c r="N51" s="541"/>
    </row>
    <row r="52" spans="1:22" ht="15" customHeight="1" outlineLevel="1">
      <c r="B52" s="111"/>
      <c r="D52" s="542"/>
      <c r="E52" s="541"/>
      <c r="F52" s="541"/>
      <c r="G52" s="541"/>
      <c r="H52" s="541"/>
      <c r="I52" s="541"/>
      <c r="J52" s="541"/>
      <c r="K52" s="541"/>
      <c r="L52" s="541"/>
      <c r="M52" s="541"/>
      <c r="N52" s="541"/>
    </row>
    <row r="53" spans="1:22" ht="15" customHeight="1" outlineLevel="1">
      <c r="B53" s="111"/>
      <c r="D53" s="542"/>
      <c r="E53" s="541"/>
      <c r="F53" s="541"/>
      <c r="G53" s="541"/>
      <c r="H53" s="541"/>
      <c r="I53" s="541"/>
      <c r="J53" s="541"/>
      <c r="K53" s="541"/>
      <c r="L53" s="541"/>
      <c r="M53" s="541"/>
      <c r="N53" s="541"/>
    </row>
    <row r="54" spans="1:22" ht="15" customHeight="1" outlineLevel="1">
      <c r="B54" s="111"/>
      <c r="D54" s="542"/>
      <c r="E54" s="541"/>
      <c r="F54" s="541"/>
      <c r="G54" s="541"/>
      <c r="H54" s="541"/>
      <c r="I54" s="541"/>
      <c r="J54" s="541"/>
      <c r="K54" s="541"/>
      <c r="L54" s="541"/>
      <c r="M54" s="541"/>
      <c r="N54" s="541"/>
    </row>
    <row r="55" spans="1:22" ht="15" customHeight="1" outlineLevel="1">
      <c r="B55" s="590" t="s">
        <v>302</v>
      </c>
      <c r="D55" s="542"/>
      <c r="E55" s="541"/>
      <c r="F55" s="541"/>
      <c r="G55" s="541"/>
      <c r="H55" s="541"/>
      <c r="I55" s="541"/>
      <c r="J55" s="541"/>
      <c r="K55" s="541"/>
      <c r="L55" s="541"/>
      <c r="M55" s="541"/>
      <c r="N55" s="541"/>
    </row>
    <row r="56" spans="1:22" ht="15" customHeight="1">
      <c r="B56" s="111"/>
      <c r="D56" s="542"/>
      <c r="E56" s="541"/>
      <c r="F56" s="541"/>
      <c r="G56" s="541"/>
      <c r="H56" s="541"/>
      <c r="I56" s="541"/>
      <c r="J56" s="541"/>
      <c r="K56" s="541"/>
      <c r="L56" s="541"/>
      <c r="M56" s="541"/>
      <c r="N56" s="541"/>
    </row>
    <row r="57" spans="1:22" ht="15" customHeight="1">
      <c r="A57" s="115" t="s">
        <v>0</v>
      </c>
      <c r="B57" s="108" t="s">
        <v>301</v>
      </c>
      <c r="C57" s="107"/>
      <c r="D57" s="107"/>
      <c r="E57" s="106"/>
      <c r="F57" s="106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R57" s="102"/>
      <c r="S57" s="102"/>
      <c r="T57" s="102"/>
      <c r="U57" s="102"/>
      <c r="V57" s="102"/>
    </row>
    <row r="58" spans="1:22" ht="15" customHeight="1" outlineLevel="1">
      <c r="B58" s="111"/>
      <c r="D58" s="542"/>
      <c r="E58" s="541"/>
      <c r="F58" s="541"/>
      <c r="G58" s="541"/>
      <c r="H58" s="541"/>
      <c r="I58" s="541"/>
      <c r="J58" s="541"/>
      <c r="K58" s="541"/>
      <c r="L58" s="541"/>
      <c r="M58" s="541"/>
      <c r="N58" s="541"/>
    </row>
    <row r="59" spans="1:22" ht="15" customHeight="1" outlineLevel="1">
      <c r="B59" s="111"/>
      <c r="D59" s="542"/>
      <c r="E59" s="541"/>
      <c r="F59" s="541"/>
      <c r="G59" s="541"/>
      <c r="H59" s="541"/>
      <c r="I59" s="541"/>
      <c r="J59" s="541"/>
      <c r="K59" s="541"/>
      <c r="L59" s="541"/>
      <c r="M59" s="541"/>
      <c r="N59" s="541"/>
    </row>
    <row r="60" spans="1:22" ht="15" customHeight="1" outlineLevel="1">
      <c r="B60" s="366" t="s">
        <v>304</v>
      </c>
      <c r="C60" s="366"/>
      <c r="D60" s="366"/>
      <c r="E60" s="563" t="s">
        <v>18</v>
      </c>
      <c r="F60" s="563"/>
      <c r="G60" s="366" t="s">
        <v>310</v>
      </c>
      <c r="H60" s="563"/>
      <c r="I60" s="563"/>
    </row>
    <row r="61" spans="1:22" ht="15" customHeight="1" outlineLevel="1">
      <c r="B61" s="78"/>
      <c r="C61" s="78"/>
      <c r="D61" s="78"/>
      <c r="E61" s="591"/>
      <c r="F61" s="591"/>
      <c r="G61" s="591"/>
      <c r="H61" s="591"/>
      <c r="I61" s="591"/>
    </row>
    <row r="62" spans="1:22" ht="15" customHeight="1" outlineLevel="1">
      <c r="B62" s="592" t="s">
        <v>317</v>
      </c>
      <c r="C62" s="78"/>
      <c r="D62" s="78"/>
      <c r="E62" s="607">
        <f>Inputs!F40</f>
        <v>5500</v>
      </c>
      <c r="F62" s="591"/>
      <c r="G62" s="478" t="s">
        <v>320</v>
      </c>
      <c r="H62" s="591"/>
      <c r="I62" s="591"/>
    </row>
    <row r="63" spans="1:22" ht="15" customHeight="1" outlineLevel="1">
      <c r="B63" s="592" t="s">
        <v>318</v>
      </c>
      <c r="C63" s="78"/>
      <c r="D63" s="78"/>
      <c r="E63" s="595" t="s">
        <v>319</v>
      </c>
      <c r="F63" s="591"/>
      <c r="G63" s="591"/>
      <c r="H63" s="591"/>
      <c r="I63" s="591"/>
    </row>
    <row r="64" spans="1:22" ht="15" customHeight="1" outlineLevel="1">
      <c r="B64" s="592" t="s">
        <v>303</v>
      </c>
      <c r="C64" s="478"/>
      <c r="D64" s="542"/>
      <c r="E64" s="595">
        <v>20</v>
      </c>
      <c r="F64" s="594"/>
      <c r="G64" s="478" t="s">
        <v>311</v>
      </c>
      <c r="H64" s="591"/>
      <c r="I64" s="591"/>
    </row>
    <row r="65" spans="2:45" ht="15" customHeight="1" outlineLevel="1">
      <c r="B65" s="592" t="s">
        <v>305</v>
      </c>
      <c r="C65" s="478"/>
      <c r="D65" s="542"/>
      <c r="E65" s="596">
        <f>Inputs!F151</f>
        <v>0.06</v>
      </c>
      <c r="F65" s="594"/>
      <c r="G65" s="594" t="s">
        <v>307</v>
      </c>
      <c r="H65" s="591"/>
      <c r="I65" s="591"/>
    </row>
    <row r="66" spans="2:45" ht="15" customHeight="1" outlineLevel="1">
      <c r="B66" s="592" t="s">
        <v>6</v>
      </c>
      <c r="C66" s="478"/>
      <c r="D66" s="542"/>
      <c r="E66" s="597">
        <f>Inputs!L79</f>
        <v>8.3159674767419423E-2</v>
      </c>
      <c r="F66" s="594"/>
      <c r="G66" s="594" t="s">
        <v>308</v>
      </c>
      <c r="H66" s="591"/>
      <c r="I66" s="591"/>
    </row>
    <row r="67" spans="2:45" ht="15" customHeight="1" outlineLevel="1">
      <c r="B67" s="592"/>
      <c r="C67" s="478"/>
      <c r="D67" s="542"/>
      <c r="E67" s="597"/>
      <c r="F67" s="594"/>
      <c r="G67" s="594"/>
      <c r="H67" s="591"/>
      <c r="I67" s="591"/>
    </row>
    <row r="68" spans="2:45" ht="15" customHeight="1" outlineLevel="1">
      <c r="B68" s="592" t="s">
        <v>325</v>
      </c>
      <c r="C68" s="478"/>
      <c r="D68" s="542"/>
      <c r="E68" s="593">
        <f>$M$24</f>
        <v>0</v>
      </c>
      <c r="F68" s="594"/>
      <c r="G68" s="594" t="s">
        <v>322</v>
      </c>
      <c r="H68" s="594"/>
    </row>
    <row r="69" spans="2:45" ht="15" customHeight="1" outlineLevel="1">
      <c r="B69" s="592" t="s">
        <v>230</v>
      </c>
      <c r="C69" s="478"/>
      <c r="D69" s="542"/>
      <c r="E69" s="593">
        <f>$N$24</f>
        <v>0</v>
      </c>
      <c r="F69" s="594"/>
      <c r="G69" s="594" t="s">
        <v>323</v>
      </c>
      <c r="H69" s="594"/>
    </row>
    <row r="70" spans="2:45" ht="15" customHeight="1" outlineLevel="1" thickBot="1">
      <c r="B70" s="592" t="s">
        <v>324</v>
      </c>
      <c r="C70" s="478"/>
      <c r="D70" s="542"/>
      <c r="E70" s="593">
        <f>AC75</f>
        <v>2.3792049730256344</v>
      </c>
      <c r="G70" s="594" t="s">
        <v>336</v>
      </c>
      <c r="I70" s="594"/>
      <c r="J70" s="594"/>
      <c r="K70" s="541"/>
      <c r="L70" s="541"/>
      <c r="M70" s="541"/>
      <c r="N70" s="541"/>
      <c r="W70" s="600"/>
      <c r="X70" s="600"/>
      <c r="Y70" s="600"/>
      <c r="Z70" s="601">
        <f>Model!H6</f>
        <v>2027</v>
      </c>
      <c r="AA70" s="601">
        <f>Model!I6</f>
        <v>2028</v>
      </c>
      <c r="AB70" s="601">
        <f>Model!J6</f>
        <v>2029</v>
      </c>
      <c r="AC70" s="601">
        <f>Model!K6</f>
        <v>2030</v>
      </c>
      <c r="AD70" s="601">
        <f>Model!L6</f>
        <v>2031</v>
      </c>
      <c r="AE70" s="601">
        <f>Model!M6</f>
        <v>2032</v>
      </c>
      <c r="AF70" s="601">
        <f>Model!N6</f>
        <v>2033</v>
      </c>
      <c r="AG70" s="601">
        <f>Model!O6</f>
        <v>2034</v>
      </c>
      <c r="AH70" s="601">
        <f>Model!P6</f>
        <v>2035</v>
      </c>
      <c r="AI70" s="601">
        <f>Model!Q6</f>
        <v>2036</v>
      </c>
      <c r="AJ70" s="601">
        <f>Model!R6</f>
        <v>2037</v>
      </c>
      <c r="AK70" s="601">
        <f>Model!S6</f>
        <v>2038</v>
      </c>
      <c r="AL70" s="601">
        <f>Model!T6</f>
        <v>2039</v>
      </c>
      <c r="AM70" s="601">
        <f>Model!U6</f>
        <v>2040</v>
      </c>
      <c r="AN70" s="601">
        <f>Model!V6</f>
        <v>2041</v>
      </c>
      <c r="AO70" s="601">
        <f>Model!W6</f>
        <v>2042</v>
      </c>
      <c r="AP70" s="601">
        <f>Model!X6</f>
        <v>2043</v>
      </c>
      <c r="AQ70" s="601">
        <f>Model!Y6</f>
        <v>2044</v>
      </c>
      <c r="AR70" s="601">
        <f>Model!Z6</f>
        <v>2045</v>
      </c>
      <c r="AS70" s="601">
        <f>Model!AA6</f>
        <v>2046</v>
      </c>
    </row>
    <row r="71" spans="2:45" ht="15" customHeight="1" outlineLevel="1">
      <c r="I71" s="594"/>
      <c r="J71" s="594"/>
      <c r="K71" s="541"/>
      <c r="L71" s="541"/>
      <c r="M71" s="541"/>
      <c r="N71" s="541"/>
      <c r="P71" s="150"/>
      <c r="Q71" s="412"/>
      <c r="R71" s="606"/>
      <c r="W71" s="602"/>
      <c r="X71" s="602"/>
      <c r="Y71" s="602"/>
      <c r="Z71" s="602"/>
      <c r="AA71" s="602"/>
      <c r="AB71" s="602"/>
      <c r="AC71" s="602"/>
      <c r="AD71" s="602"/>
    </row>
    <row r="72" spans="2:45" ht="15" customHeight="1" outlineLevel="1">
      <c r="B72" s="592" t="s">
        <v>291</v>
      </c>
      <c r="C72" s="478"/>
      <c r="D72" s="542"/>
      <c r="E72" s="598">
        <f>J24</f>
        <v>0.24344133734703058</v>
      </c>
      <c r="F72" s="594"/>
      <c r="G72" s="594" t="s">
        <v>309</v>
      </c>
      <c r="H72" s="594"/>
      <c r="I72" s="594"/>
      <c r="J72" s="594"/>
      <c r="K72" s="541"/>
      <c r="L72" s="541"/>
      <c r="M72" s="541"/>
      <c r="N72" s="541"/>
      <c r="W72" s="412" t="s">
        <v>69</v>
      </c>
      <c r="X72" s="603"/>
      <c r="Y72" s="603"/>
      <c r="Z72" s="415">
        <f>Model!H$97</f>
        <v>442.42319786199977</v>
      </c>
      <c r="AA72" s="415">
        <f>Model!I$97</f>
        <v>560.26737506622055</v>
      </c>
      <c r="AB72" s="415">
        <f>Model!J$97</f>
        <v>682.64835007946385</v>
      </c>
      <c r="AC72" s="415">
        <f>Model!K$97</f>
        <v>1198.620857897655</v>
      </c>
      <c r="AD72" s="415">
        <f>Model!L$97</f>
        <v>1334.6645424581168</v>
      </c>
      <c r="AE72" s="415">
        <f>Model!M$97</f>
        <v>1475.1239962532345</v>
      </c>
      <c r="AF72" s="415">
        <f>Model!N$97</f>
        <v>1500.8929548991</v>
      </c>
      <c r="AG72" s="415">
        <f>Model!O$97</f>
        <v>1523.3018976300746</v>
      </c>
      <c r="AH72" s="415">
        <f>Model!P$97</f>
        <v>1546.0220587210617</v>
      </c>
      <c r="AI72" s="415">
        <f>Model!Q$97</f>
        <v>1569.0571972503612</v>
      </c>
      <c r="AJ72" s="415">
        <f>Model!R$97</f>
        <v>1588.3974840562655</v>
      </c>
      <c r="AK72" s="415">
        <f>Model!S$97</f>
        <v>1603.8380314567701</v>
      </c>
      <c r="AL72" s="415">
        <f>Model!T$97</f>
        <v>1619.3261513687937</v>
      </c>
      <c r="AM72" s="415">
        <f>Model!U$97</f>
        <v>1634.8586154275827</v>
      </c>
      <c r="AN72" s="415">
        <f>Model!V$97</f>
        <v>1650.4320638240524</v>
      </c>
      <c r="AO72" s="415">
        <f>Model!W$97</f>
        <v>1666.0430016058554</v>
      </c>
      <c r="AP72" s="415">
        <f>Model!X$97</f>
        <v>1681.6877948873807</v>
      </c>
      <c r="AQ72" s="415">
        <f>Model!Y$97</f>
        <v>1697.3626669665271</v>
      </c>
      <c r="AR72" s="415">
        <f>Model!Z$97</f>
        <v>1713.0636943461611</v>
      </c>
      <c r="AS72" s="415">
        <f>Model!AA$97</f>
        <v>1728.7868026580309</v>
      </c>
    </row>
    <row r="73" spans="2:45" ht="15" customHeight="1" outlineLevel="1">
      <c r="B73" s="592" t="s">
        <v>306</v>
      </c>
      <c r="C73" s="478"/>
      <c r="D73" s="542"/>
      <c r="E73" s="599">
        <f>L24</f>
        <v>1.5304267478827798</v>
      </c>
      <c r="F73" s="594"/>
      <c r="G73" s="594" t="s">
        <v>312</v>
      </c>
      <c r="H73" s="594"/>
      <c r="I73" s="594"/>
      <c r="J73" s="594"/>
      <c r="K73" s="541"/>
      <c r="L73" s="541"/>
      <c r="M73" s="541"/>
      <c r="N73" s="541"/>
      <c r="W73" s="412" t="s">
        <v>42</v>
      </c>
      <c r="X73" s="603"/>
      <c r="Y73" s="603"/>
      <c r="Z73" s="415">
        <f>Model!H249</f>
        <v>1710</v>
      </c>
      <c r="AA73" s="415">
        <f>Model!I249</f>
        <v>1620</v>
      </c>
      <c r="AB73" s="415">
        <f>Model!J249</f>
        <v>3030</v>
      </c>
      <c r="AC73" s="415">
        <f>Model!K249</f>
        <v>2851.7647058823532</v>
      </c>
      <c r="AD73" s="415">
        <f>Model!L249</f>
        <v>2673.5294117647059</v>
      </c>
      <c r="AE73" s="415">
        <f>Model!M249</f>
        <v>2495.2941176470586</v>
      </c>
      <c r="AF73" s="415">
        <f>Model!N249</f>
        <v>2317.0588235294117</v>
      </c>
      <c r="AG73" s="415">
        <f>Model!O249</f>
        <v>2138.8235294117649</v>
      </c>
      <c r="AH73" s="415">
        <f>Model!P249</f>
        <v>1960.5882352941176</v>
      </c>
      <c r="AI73" s="415">
        <f>Model!Q249</f>
        <v>1782.3529411764705</v>
      </c>
      <c r="AJ73" s="415">
        <f>Model!R249</f>
        <v>1604.1176470588234</v>
      </c>
      <c r="AK73" s="415">
        <f>Model!S249</f>
        <v>1425.8823529411764</v>
      </c>
      <c r="AL73" s="415">
        <f>Model!T249</f>
        <v>1247.6470588235293</v>
      </c>
      <c r="AM73" s="415">
        <f>Model!U249</f>
        <v>1069.4117647058822</v>
      </c>
      <c r="AN73" s="415">
        <f>Model!V249</f>
        <v>891.17647058823513</v>
      </c>
      <c r="AO73" s="415">
        <f>Model!W249</f>
        <v>712.94117647058806</v>
      </c>
      <c r="AP73" s="415">
        <f>Model!X249</f>
        <v>534.70588235294099</v>
      </c>
      <c r="AQ73" s="415">
        <f>Model!Y249</f>
        <v>356.47058823529392</v>
      </c>
      <c r="AR73" s="415">
        <f>Model!Z249</f>
        <v>178.23529411764684</v>
      </c>
      <c r="AS73" s="415">
        <f>Model!AA249</f>
        <v>-1.9895196601282805E-13</v>
      </c>
    </row>
    <row r="74" spans="2:45" ht="15" customHeight="1" outlineLevel="1">
      <c r="H74" s="594"/>
      <c r="I74" s="594"/>
      <c r="J74" s="594"/>
      <c r="K74" s="541"/>
      <c r="L74" s="541"/>
      <c r="M74" s="541"/>
      <c r="N74" s="541"/>
      <c r="W74" s="412"/>
      <c r="X74" s="603"/>
      <c r="Y74" s="603"/>
      <c r="Z74" s="412"/>
      <c r="AA74" s="412"/>
      <c r="AB74" s="412"/>
      <c r="AC74" s="412"/>
      <c r="AD74" s="412"/>
      <c r="AE74" s="412"/>
      <c r="AF74" s="412"/>
      <c r="AG74" s="412"/>
      <c r="AH74" s="412"/>
      <c r="AI74" s="412"/>
      <c r="AJ74" s="412"/>
      <c r="AK74" s="412"/>
      <c r="AL74" s="412"/>
      <c r="AM74" s="412"/>
      <c r="AN74" s="412"/>
      <c r="AO74" s="412"/>
      <c r="AP74" s="412"/>
      <c r="AQ74" s="412"/>
      <c r="AR74" s="412"/>
      <c r="AS74" s="412"/>
    </row>
    <row r="75" spans="2:45" ht="15" customHeight="1" outlineLevel="1">
      <c r="B75" s="592"/>
      <c r="C75" s="478"/>
      <c r="D75" s="542"/>
      <c r="E75" s="594"/>
      <c r="F75" s="594"/>
      <c r="G75" s="594"/>
      <c r="H75" s="594"/>
      <c r="I75" s="594"/>
      <c r="J75" s="594"/>
      <c r="K75" s="541"/>
      <c r="L75" s="541"/>
      <c r="M75" s="541"/>
      <c r="N75" s="541"/>
      <c r="W75" s="68" t="s">
        <v>313</v>
      </c>
      <c r="X75" s="604"/>
      <c r="Y75" s="604"/>
      <c r="Z75" s="605">
        <f t="shared" ref="Z75:AR75" si="1">Z73/Z72</f>
        <v>3.865077618586767</v>
      </c>
      <c r="AA75" s="605">
        <f t="shared" si="1"/>
        <v>2.8914765915265455</v>
      </c>
      <c r="AB75" s="605">
        <f t="shared" si="1"/>
        <v>4.4385956541860709</v>
      </c>
      <c r="AC75" s="605">
        <f t="shared" si="1"/>
        <v>2.3792049730256344</v>
      </c>
      <c r="AD75" s="605">
        <f t="shared" si="1"/>
        <v>2.0031471030471346</v>
      </c>
      <c r="AE75" s="605">
        <f t="shared" si="1"/>
        <v>1.6915826221965218</v>
      </c>
      <c r="AF75" s="605">
        <f t="shared" si="1"/>
        <v>1.5437868609924814</v>
      </c>
      <c r="AG75" s="605">
        <f t="shared" si="1"/>
        <v>1.4040706787927644</v>
      </c>
      <c r="AH75" s="605">
        <f t="shared" si="1"/>
        <v>1.2681502338433666</v>
      </c>
      <c r="AI75" s="605">
        <f t="shared" si="1"/>
        <v>1.1359387945193407</v>
      </c>
      <c r="AJ75" s="605">
        <f t="shared" si="1"/>
        <v>1.0098968697447277</v>
      </c>
      <c r="AK75" s="605">
        <f t="shared" si="1"/>
        <v>0.88904385915206408</v>
      </c>
      <c r="AL75" s="605">
        <f t="shared" si="1"/>
        <v>0.77047298826670008</v>
      </c>
      <c r="AM75" s="605">
        <f t="shared" si="1"/>
        <v>0.6541310389866265</v>
      </c>
      <c r="AN75" s="605">
        <f t="shared" si="1"/>
        <v>0.53996555818442993</v>
      </c>
      <c r="AO75" s="605">
        <f t="shared" si="1"/>
        <v>0.42792483494327738</v>
      </c>
      <c r="AP75" s="605">
        <f t="shared" si="1"/>
        <v>0.31795787778120205</v>
      </c>
      <c r="AQ75" s="605">
        <f t="shared" si="1"/>
        <v>0.21001439184023465</v>
      </c>
      <c r="AR75" s="605">
        <f t="shared" si="1"/>
        <v>0.10404475601572734</v>
      </c>
      <c r="AS75" s="605">
        <v>0.01</v>
      </c>
    </row>
    <row r="76" spans="2:45" ht="15" customHeight="1" outlineLevel="1">
      <c r="K76" s="541"/>
      <c r="L76" s="541"/>
      <c r="M76" s="541"/>
      <c r="N76" s="541"/>
      <c r="W76" s="412" t="s">
        <v>314</v>
      </c>
      <c r="X76" s="603"/>
      <c r="Y76" s="603"/>
      <c r="Z76" s="605">
        <f>Model!H259</f>
        <v>1.7492787762701834</v>
      </c>
      <c r="AA76" s="605">
        <f>Model!I259</f>
        <v>2.1445744529494868</v>
      </c>
      <c r="AB76" s="605">
        <f>Model!J259</f>
        <v>2.6930179811818724</v>
      </c>
      <c r="AC76" s="605">
        <f>Model!K259</f>
        <v>2.1632266839043055</v>
      </c>
      <c r="AD76" s="605">
        <f>Model!L259</f>
        <v>2.9112373627575052</v>
      </c>
      <c r="AE76" s="605">
        <f>Model!M259</f>
        <v>3.3119763862245968</v>
      </c>
      <c r="AF76" s="605">
        <f>Model!N259</f>
        <v>3.5966293780408751</v>
      </c>
      <c r="AG76" s="605">
        <f>Model!O259</f>
        <v>3.7718958849406539</v>
      </c>
      <c r="AH76" s="605">
        <f>Model!P259</f>
        <v>3.9582467995032293</v>
      </c>
      <c r="AI76" s="605">
        <f>Model!Q259</f>
        <v>4.1588383609361479</v>
      </c>
      <c r="AJ76" s="605">
        <f>Model!R259</f>
        <v>4.3665337723087836</v>
      </c>
      <c r="AK76" s="605">
        <f>Model!S259</f>
        <v>4.5794052102550884</v>
      </c>
      <c r="AL76" s="605">
        <f>Model!T259</f>
        <v>4.807260012950568</v>
      </c>
      <c r="AM76" s="605">
        <f>Model!U259</f>
        <v>5.0544360426320551</v>
      </c>
      <c r="AN76" s="605">
        <f>Model!V259</f>
        <v>5.3234783006075288</v>
      </c>
      <c r="AO76" s="605">
        <f>Model!W259</f>
        <v>5.6174011513279982</v>
      </c>
      <c r="AP76" s="605">
        <f>Model!X259</f>
        <v>5.9398018640365855</v>
      </c>
      <c r="AQ76" s="605">
        <f>Model!Y259</f>
        <v>6.2950087938852954</v>
      </c>
      <c r="AR76" s="605">
        <f>Model!Z259</f>
        <v>6.6882771923114044</v>
      </c>
      <c r="AS76" s="605">
        <f>Model!AA259</f>
        <v>7.126051518634803</v>
      </c>
    </row>
    <row r="77" spans="2:45" ht="15" customHeight="1" outlineLevel="1">
      <c r="K77" s="541"/>
      <c r="L77" s="541"/>
      <c r="M77" s="541"/>
      <c r="N77" s="541"/>
    </row>
    <row r="78" spans="2:45" ht="15" customHeight="1" outlineLevel="1">
      <c r="D78" s="541"/>
      <c r="E78" s="541"/>
      <c r="F78" s="541"/>
      <c r="H78" s="541"/>
      <c r="I78" s="541"/>
      <c r="J78" s="541"/>
      <c r="K78" s="541"/>
      <c r="L78" s="541"/>
      <c r="M78" s="541"/>
      <c r="N78" s="541"/>
    </row>
    <row r="79" spans="2:45" ht="15" customHeight="1" outlineLevel="1">
      <c r="D79" s="541"/>
      <c r="E79" s="541"/>
      <c r="F79" s="541"/>
      <c r="G79" s="541"/>
      <c r="H79" s="541"/>
      <c r="I79" s="541"/>
      <c r="J79" s="541"/>
      <c r="K79" s="541"/>
      <c r="L79" s="541"/>
      <c r="M79" s="541"/>
      <c r="N79" s="541"/>
    </row>
    <row r="80" spans="2:45" ht="15" customHeight="1" outlineLevel="1">
      <c r="D80" s="541"/>
      <c r="E80" s="541"/>
      <c r="F80" s="541"/>
      <c r="G80" s="541"/>
      <c r="H80" s="541"/>
      <c r="I80" s="541"/>
      <c r="J80" s="541"/>
      <c r="K80" s="541"/>
      <c r="L80" s="541"/>
      <c r="M80" s="541"/>
      <c r="N80" s="541"/>
    </row>
    <row r="81" spans="1:30" ht="15" customHeight="1" outlineLevel="1">
      <c r="D81" s="541"/>
      <c r="E81" s="541"/>
      <c r="F81" s="541"/>
      <c r="G81" s="541"/>
      <c r="H81" s="541"/>
      <c r="I81" s="541"/>
      <c r="J81" s="541"/>
      <c r="K81" s="541"/>
      <c r="L81" s="541"/>
      <c r="M81" s="541"/>
      <c r="N81" s="541"/>
    </row>
    <row r="82" spans="1:30" ht="15" customHeight="1" outlineLevel="1">
      <c r="D82" s="541"/>
      <c r="E82" s="541"/>
      <c r="F82" s="541"/>
      <c r="G82" s="541"/>
      <c r="H82" s="541"/>
      <c r="I82" s="541"/>
      <c r="J82" s="541"/>
      <c r="K82" s="541"/>
      <c r="L82" s="541"/>
      <c r="M82" s="541"/>
      <c r="N82" s="541"/>
    </row>
    <row r="83" spans="1:30" ht="15" customHeight="1" outlineLevel="1">
      <c r="D83" s="541"/>
      <c r="E83" s="541"/>
      <c r="F83" s="541"/>
      <c r="G83" s="541"/>
      <c r="H83" s="541"/>
      <c r="I83" s="541"/>
      <c r="J83" s="541"/>
      <c r="K83" s="541"/>
      <c r="L83" s="541"/>
      <c r="M83" s="541"/>
      <c r="N83" s="541"/>
    </row>
    <row r="84" spans="1:30" ht="15" customHeight="1" outlineLevel="1">
      <c r="D84" s="541"/>
      <c r="E84" s="541"/>
      <c r="F84" s="541"/>
      <c r="G84" s="541"/>
      <c r="H84" s="541"/>
      <c r="I84" s="541"/>
      <c r="J84" s="541"/>
      <c r="K84" s="541"/>
      <c r="L84" s="541"/>
      <c r="M84" s="541"/>
      <c r="N84" s="541"/>
    </row>
    <row r="85" spans="1:30" ht="15" customHeight="1" outlineLevel="1">
      <c r="D85" s="541"/>
      <c r="E85" s="541"/>
      <c r="F85" s="541"/>
      <c r="G85" s="541"/>
      <c r="H85" s="541"/>
      <c r="I85" s="541"/>
      <c r="J85" s="541"/>
      <c r="K85" s="541"/>
      <c r="L85" s="541"/>
      <c r="M85" s="541"/>
      <c r="N85" s="541"/>
    </row>
    <row r="86" spans="1:30" ht="15" customHeight="1" outlineLevel="1">
      <c r="D86" s="541"/>
      <c r="E86" s="541"/>
      <c r="F86" s="541"/>
      <c r="G86" s="541"/>
      <c r="H86" s="541"/>
      <c r="I86" s="541"/>
      <c r="J86" s="541"/>
      <c r="K86" s="541"/>
      <c r="L86" s="541"/>
      <c r="M86" s="541"/>
      <c r="N86" s="541"/>
    </row>
    <row r="87" spans="1:30" ht="15" customHeight="1" outlineLevel="1">
      <c r="B87" s="590" t="s">
        <v>326</v>
      </c>
      <c r="D87" s="541"/>
      <c r="E87" s="541"/>
      <c r="F87" s="541"/>
      <c r="G87" s="541"/>
      <c r="H87" s="541"/>
      <c r="I87" s="541"/>
      <c r="J87" s="541"/>
      <c r="K87" s="541"/>
      <c r="L87" s="541"/>
      <c r="M87" s="541"/>
      <c r="N87" s="541"/>
    </row>
    <row r="88" spans="1:30" ht="15" customHeight="1" outlineLevel="1">
      <c r="D88" s="541"/>
      <c r="E88" s="541"/>
      <c r="F88" s="541"/>
      <c r="G88" s="541"/>
      <c r="H88" s="541"/>
      <c r="I88" s="541"/>
      <c r="J88" s="541"/>
      <c r="K88" s="541"/>
      <c r="L88" s="541"/>
      <c r="M88" s="541"/>
      <c r="N88" s="541"/>
    </row>
    <row r="89" spans="1:30" ht="15" customHeight="1" outlineLevel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30" ht="15" customHeight="1" outlineLevel="1"/>
    <row r="91" spans="1:30" ht="15" customHeight="1"/>
    <row r="92" spans="1:30" ht="15" customHeight="1">
      <c r="A92" s="115" t="s">
        <v>0</v>
      </c>
      <c r="B92" s="108" t="s">
        <v>279</v>
      </c>
      <c r="C92" s="107"/>
      <c r="D92" s="107"/>
      <c r="E92" s="106"/>
      <c r="F92" s="106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R92" s="102"/>
      <c r="S92" s="102"/>
      <c r="T92" s="102"/>
      <c r="U92" s="102"/>
      <c r="V92" s="102"/>
    </row>
    <row r="93" spans="1:30" ht="15" customHeight="1"/>
    <row r="94" spans="1:30" ht="15" customHeight="1">
      <c r="B94" s="8" t="s">
        <v>6</v>
      </c>
      <c r="C94" s="608">
        <f>Inputs!$L$79</f>
        <v>8.3159674767419423E-2</v>
      </c>
    </row>
    <row r="95" spans="1:30" ht="15" customHeight="1">
      <c r="B95" s="111"/>
      <c r="D95" s="542"/>
      <c r="E95" s="541"/>
    </row>
    <row r="96" spans="1:30" ht="15" customHeight="1">
      <c r="B96" s="366" t="s">
        <v>327</v>
      </c>
      <c r="C96" s="366"/>
      <c r="D96" s="366"/>
      <c r="E96" s="563"/>
      <c r="G96" s="366" t="s">
        <v>334</v>
      </c>
      <c r="H96" s="366"/>
      <c r="I96" s="366"/>
      <c r="J96" s="366"/>
      <c r="K96" s="366"/>
      <c r="U96" s="120" t="s">
        <v>328</v>
      </c>
      <c r="W96" s="637" t="s">
        <v>18</v>
      </c>
      <c r="X96" s="638" t="s">
        <v>338</v>
      </c>
      <c r="Y96" s="639" t="s">
        <v>339</v>
      </c>
      <c r="Z96" s="637" t="s">
        <v>329</v>
      </c>
      <c r="AA96" s="637" t="s">
        <v>330</v>
      </c>
      <c r="AB96" s="637" t="s">
        <v>331</v>
      </c>
      <c r="AD96" s="120"/>
    </row>
    <row r="97" spans="2:30" ht="15" customHeight="1">
      <c r="B97" s="78"/>
      <c r="C97" s="78"/>
      <c r="D97" s="78"/>
      <c r="E97" s="591"/>
      <c r="U97" s="120"/>
      <c r="W97" s="637"/>
      <c r="X97" s="640"/>
      <c r="Y97" s="637"/>
      <c r="Z97" s="637"/>
      <c r="AA97" s="637"/>
      <c r="AB97" s="637"/>
      <c r="AC97" s="120"/>
      <c r="AD97" s="120"/>
    </row>
    <row r="98" spans="2:30" ht="15" customHeight="1">
      <c r="C98" s="609"/>
      <c r="D98" s="91" t="s">
        <v>190</v>
      </c>
      <c r="E98" s="191"/>
      <c r="U98" s="120" t="s">
        <v>332</v>
      </c>
      <c r="W98" s="641">
        <f>Inputs!H97</f>
        <v>0.25</v>
      </c>
      <c r="X98" s="640"/>
      <c r="Y98" s="637"/>
      <c r="Z98" s="637"/>
      <c r="AA98" s="637"/>
      <c r="AB98" s="637"/>
      <c r="AC98" s="120"/>
      <c r="AD98" s="120"/>
    </row>
    <row r="99" spans="2:30" ht="15" customHeight="1">
      <c r="B99" s="643" t="s">
        <v>6</v>
      </c>
      <c r="C99" s="610">
        <v>0.06</v>
      </c>
      <c r="D99" s="630">
        <f>XNPV(C99,Model!$F$186:$AA$186,Model!$F$185:$AA$185)</f>
        <v>5832.4502749501808</v>
      </c>
      <c r="U99" s="120" t="s">
        <v>122</v>
      </c>
      <c r="W99" s="641">
        <f>Inputs!H111</f>
        <v>0.75</v>
      </c>
      <c r="X99" s="640"/>
      <c r="Y99" s="637"/>
      <c r="Z99" s="637"/>
      <c r="AA99" s="637"/>
      <c r="AB99" s="637"/>
      <c r="AC99" s="120"/>
      <c r="AD99" s="120"/>
    </row>
    <row r="100" spans="2:30" ht="15" customHeight="1">
      <c r="B100" s="643"/>
      <c r="C100" s="611">
        <v>7.0000000000000007E-2</v>
      </c>
      <c r="D100" s="631">
        <f>XNPV(C100,Model!$F$186:$AA$186,Model!$F$185:$AA$185)</f>
        <v>4821.0660345799133</v>
      </c>
      <c r="U100" s="120" t="s">
        <v>260</v>
      </c>
      <c r="W100" s="637">
        <f>Inputs!H118</f>
        <v>54.121607999999995</v>
      </c>
      <c r="X100" s="640"/>
      <c r="Y100" s="637"/>
      <c r="Z100" s="637"/>
      <c r="AA100" s="637"/>
      <c r="AB100" s="637"/>
      <c r="AC100" s="120"/>
      <c r="AD100" s="120"/>
    </row>
    <row r="101" spans="2:30" ht="15" customHeight="1">
      <c r="B101" s="643"/>
      <c r="C101" s="612">
        <f>C94</f>
        <v>8.3159674767419423E-2</v>
      </c>
      <c r="D101" s="632">
        <f>XNPV(C101,Model!$F$186:$AA$186,Model!$F$185:$AA$185)</f>
        <v>3691.4990702827049</v>
      </c>
      <c r="U101" s="120" t="s">
        <v>333</v>
      </c>
      <c r="W101" s="637">
        <f>Inputs!H125</f>
        <v>108.24321599999999</v>
      </c>
      <c r="X101" s="640"/>
      <c r="Y101" s="637"/>
      <c r="Z101" s="637"/>
      <c r="AA101" s="637"/>
      <c r="AB101" s="637"/>
      <c r="AC101" s="120"/>
      <c r="AD101" s="120"/>
    </row>
    <row r="102" spans="2:30" ht="15" customHeight="1">
      <c r="B102" s="643"/>
      <c r="C102" s="611">
        <v>0.09</v>
      </c>
      <c r="D102" s="631">
        <f>XNPV(C102,Model!$F$186:$AA$186,Model!$F$185:$AA$185)</f>
        <v>3181.3218615143542</v>
      </c>
    </row>
    <row r="103" spans="2:30" ht="15" customHeight="1">
      <c r="B103" s="643"/>
      <c r="C103" s="613">
        <v>0.1</v>
      </c>
      <c r="D103" s="633">
        <f>XNPV(C103,Model!$F$186:$AA$186,Model!$F$185:$AA$185)</f>
        <v>2516.3873117566354</v>
      </c>
    </row>
    <row r="104" spans="2:30" ht="15" customHeight="1">
      <c r="C104" s="478"/>
    </row>
    <row r="105" spans="2:30" ht="15" customHeight="1">
      <c r="C105" s="478"/>
    </row>
    <row r="106" spans="2:30" ht="15" customHeight="1">
      <c r="B106" s="14"/>
      <c r="C106" s="552"/>
    </row>
    <row r="107" spans="2:30" ht="15" customHeight="1">
      <c r="B107" s="366" t="s">
        <v>335</v>
      </c>
      <c r="C107" s="366"/>
      <c r="D107" s="366"/>
      <c r="E107" s="366"/>
    </row>
    <row r="108" spans="2:30" ht="15" customHeight="1">
      <c r="B108" s="551"/>
    </row>
    <row r="109" spans="2:30" ht="15" customHeight="1">
      <c r="B109" s="551"/>
    </row>
    <row r="110" spans="2:30" ht="15" customHeight="1">
      <c r="B110" s="551"/>
    </row>
    <row r="111" spans="2:30" ht="15" customHeight="1">
      <c r="B111" s="551"/>
    </row>
    <row r="112" spans="2:30" ht="15" customHeight="1">
      <c r="B112" s="551"/>
    </row>
    <row r="113" spans="2:2" ht="15" customHeight="1">
      <c r="B113" s="551"/>
    </row>
    <row r="114" spans="2:2" ht="15" customHeight="1">
      <c r="B114" s="551"/>
    </row>
    <row r="115" spans="2:2" ht="15" customHeight="1">
      <c r="B115" s="551"/>
    </row>
    <row r="116" spans="2:2" ht="15" customHeight="1">
      <c r="B116" s="551"/>
    </row>
    <row r="117" spans="2:2" ht="15" customHeight="1">
      <c r="B117" s="551"/>
    </row>
    <row r="118" spans="2:2" ht="15" customHeight="1"/>
    <row r="119" spans="2:2" ht="15" customHeight="1"/>
    <row r="120" spans="2:2" ht="15" customHeight="1"/>
    <row r="121" spans="2:2" ht="15" customHeight="1"/>
    <row r="122" spans="2:2" ht="15" customHeight="1"/>
    <row r="123" spans="2:2" ht="15" customHeight="1"/>
    <row r="124" spans="2:2" ht="15" customHeight="1"/>
    <row r="125" spans="2:2" ht="15" customHeight="1"/>
    <row r="126" spans="2:2" ht="15" customHeight="1"/>
    <row r="127" spans="2:2" ht="15" customHeight="1"/>
    <row r="128" spans="2:2" ht="15" customHeight="1"/>
    <row r="129" spans="1:21" ht="15" customHeight="1"/>
    <row r="130" spans="1:21" ht="15" customHeight="1"/>
    <row r="131" spans="1:21" ht="15" customHeight="1"/>
    <row r="132" spans="1:21" ht="15" customHeight="1"/>
    <row r="133" spans="1:21" ht="15" customHeight="1"/>
    <row r="134" spans="1:21" ht="15" customHeight="1"/>
    <row r="135" spans="1:21" ht="15" customHeight="1">
      <c r="A135" s="115" t="s">
        <v>0</v>
      </c>
      <c r="B135" s="108" t="s">
        <v>280</v>
      </c>
      <c r="C135" s="107"/>
      <c r="D135" s="107"/>
      <c r="E135" s="106"/>
      <c r="F135" s="106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2"/>
      <c r="S135" s="102"/>
      <c r="T135" s="102"/>
      <c r="U135" s="102"/>
    </row>
    <row r="136" spans="1:21" ht="15" customHeight="1" outlineLevel="1">
      <c r="A136" s="116"/>
      <c r="B136" s="86"/>
      <c r="C136" s="104"/>
      <c r="D136" s="104"/>
      <c r="E136" s="103"/>
      <c r="F136" s="103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</row>
    <row r="137" spans="1:21" ht="15" customHeight="1" outlineLevel="1">
      <c r="A137" s="115"/>
      <c r="F137" s="96"/>
      <c r="G137" s="101"/>
      <c r="H137" s="96"/>
      <c r="I137" s="96"/>
      <c r="J137" s="100"/>
      <c r="K137" s="100"/>
      <c r="L137" s="65"/>
      <c r="M137" s="65"/>
      <c r="N137" s="65"/>
      <c r="O137" s="65"/>
    </row>
    <row r="138" spans="1:21" ht="15" customHeight="1" outlineLevel="1">
      <c r="D138" s="65" t="s">
        <v>24</v>
      </c>
      <c r="F138" s="114">
        <v>2</v>
      </c>
      <c r="L138" s="99" t="s">
        <v>23</v>
      </c>
      <c r="M138" s="43"/>
      <c r="N138" s="43"/>
      <c r="O138" s="43"/>
    </row>
    <row r="139" spans="1:21" ht="15" customHeight="1" outlineLevel="1"/>
    <row r="140" spans="1:21" ht="15" customHeight="1" outlineLevel="1"/>
    <row r="141" spans="1:21" ht="15" customHeight="1" outlineLevel="1">
      <c r="D141" s="98" t="s">
        <v>22</v>
      </c>
      <c r="E141" s="43"/>
      <c r="F141" s="43"/>
      <c r="G141" s="43"/>
      <c r="H141" s="43"/>
      <c r="L141" s="98" t="s">
        <v>21</v>
      </c>
      <c r="M141" s="43"/>
      <c r="N141" s="43"/>
      <c r="O141" s="43"/>
    </row>
    <row r="142" spans="1:21" s="66" customFormat="1" ht="15" customHeight="1" outlineLevel="1">
      <c r="D142" s="97"/>
      <c r="E142" s="97"/>
      <c r="F142" s="97"/>
      <c r="G142" s="97"/>
      <c r="H142" s="97"/>
      <c r="I142" s="96"/>
      <c r="J142" s="95"/>
      <c r="K142" s="95"/>
      <c r="L142" s="46"/>
      <c r="M142" s="46"/>
      <c r="N142" s="46"/>
      <c r="O142" s="46"/>
    </row>
    <row r="143" spans="1:21" ht="15" customHeight="1" outlineLevel="1">
      <c r="A143" s="95"/>
      <c r="D143" s="113"/>
      <c r="E143" s="66"/>
      <c r="F143" s="94" t="s">
        <v>20</v>
      </c>
      <c r="G143" s="94" t="s">
        <v>19</v>
      </c>
      <c r="H143" s="94" t="s">
        <v>19</v>
      </c>
      <c r="I143" s="90"/>
      <c r="J143" s="90"/>
      <c r="K143" s="90"/>
    </row>
    <row r="144" spans="1:21" ht="15" customHeight="1" outlineLevel="1">
      <c r="A144" s="95"/>
      <c r="D144" s="66"/>
      <c r="E144" s="66"/>
      <c r="F144" s="94" t="s">
        <v>18</v>
      </c>
      <c r="G144" s="94" t="s">
        <v>18</v>
      </c>
      <c r="H144" s="94" t="s">
        <v>17</v>
      </c>
      <c r="I144" s="90"/>
      <c r="J144" s="90"/>
      <c r="K144" s="90"/>
      <c r="L144" s="65" t="s">
        <v>26</v>
      </c>
      <c r="M144" s="65"/>
      <c r="N144" s="64"/>
      <c r="O144" s="10" t="e">
        <f>Inputs!#REF!</f>
        <v>#REF!</v>
      </c>
    </row>
    <row r="145" spans="1:17" ht="15" customHeight="1" outlineLevel="1">
      <c r="A145" s="95"/>
      <c r="F145" s="92" t="e">
        <f>Model!#REF!</f>
        <v>#REF!</v>
      </c>
      <c r="G145" s="91"/>
      <c r="H145" s="91"/>
      <c r="I145" s="90"/>
      <c r="J145" s="90"/>
      <c r="K145" s="90"/>
      <c r="L145" s="65" t="s">
        <v>6</v>
      </c>
      <c r="N145" s="64"/>
      <c r="O145" s="10" t="e">
        <f>Inputs!#REF!</f>
        <v>#REF!</v>
      </c>
      <c r="P145" s="69"/>
    </row>
    <row r="146" spans="1:17" ht="15" customHeight="1" outlineLevel="1">
      <c r="A146" s="95"/>
      <c r="B146" s="86"/>
      <c r="D146" s="111" t="s">
        <v>29</v>
      </c>
      <c r="E146" s="77">
        <v>1</v>
      </c>
      <c r="F146" s="89" t="e">
        <f t="dataTable" ref="F146:F148" dt2D="0" dtr="0" r1="F138"/>
        <v>#REF!</v>
      </c>
      <c r="G146" s="88" t="e">
        <f>F146-$O$146</f>
        <v>#REF!</v>
      </c>
      <c r="H146" s="87" t="e">
        <f>G146/$O$147</f>
        <v>#REF!</v>
      </c>
      <c r="I146" s="82"/>
      <c r="J146" s="81"/>
      <c r="K146" s="81"/>
      <c r="L146" s="65" t="s">
        <v>16</v>
      </c>
      <c r="N146" s="80" t="str">
        <f>CONCATENATE("(End of ",Model!$H$6,")")</f>
        <v>(End of 2027)</v>
      </c>
      <c r="O146" s="112" t="e">
        <f>Inputs!#REF!</f>
        <v>#REF!</v>
      </c>
      <c r="P146" s="69"/>
    </row>
    <row r="147" spans="1:17" ht="15" customHeight="1" outlineLevel="1">
      <c r="A147" s="95"/>
      <c r="B147" s="86"/>
      <c r="D147" s="111" t="s">
        <v>28</v>
      </c>
      <c r="E147" s="77">
        <v>2</v>
      </c>
      <c r="F147" s="85" t="e">
        <v>#REF!</v>
      </c>
      <c r="G147" s="84" t="e">
        <f>F147-$O$146</f>
        <v>#REF!</v>
      </c>
      <c r="H147" s="83" t="e">
        <f>G147/$O$147</f>
        <v>#REF!</v>
      </c>
      <c r="I147" s="82"/>
      <c r="J147" s="81"/>
      <c r="K147" s="81"/>
      <c r="L147" s="65" t="s">
        <v>15</v>
      </c>
      <c r="M147" s="65"/>
      <c r="N147" s="80" t="s">
        <v>14</v>
      </c>
      <c r="O147" s="112" t="e">
        <f>Inputs!#REF!</f>
        <v>#REF!</v>
      </c>
      <c r="P147" s="69"/>
      <c r="Q147" s="62"/>
    </row>
    <row r="148" spans="1:17" s="66" customFormat="1" ht="15" customHeight="1" outlineLevel="1">
      <c r="B148" s="78"/>
      <c r="D148" s="111" t="s">
        <v>27</v>
      </c>
      <c r="E148" s="77">
        <v>3</v>
      </c>
      <c r="F148" s="76" t="e">
        <v>#REF!</v>
      </c>
      <c r="G148" s="75" t="e">
        <f>F148-$O$146</f>
        <v>#REF!</v>
      </c>
      <c r="H148" s="74" t="e">
        <f>G148/$O$147</f>
        <v>#REF!</v>
      </c>
      <c r="I148" s="67"/>
      <c r="J148" s="67"/>
      <c r="L148" s="73" t="s">
        <v>13</v>
      </c>
      <c r="M148" s="72"/>
      <c r="N148" s="71" t="s">
        <v>12</v>
      </c>
      <c r="O148" s="70" t="e">
        <f>Inputs!#REF!</f>
        <v>#REF!</v>
      </c>
      <c r="P148" s="69"/>
    </row>
    <row r="149" spans="1:17" s="66" customFormat="1" ht="15" customHeight="1" outlineLevel="1">
      <c r="B149" s="68"/>
      <c r="E149" s="8"/>
      <c r="F149" s="8"/>
      <c r="G149" s="8"/>
      <c r="H149" s="8"/>
      <c r="I149" s="67"/>
      <c r="J149" s="67"/>
      <c r="L149" s="65"/>
      <c r="M149" s="8"/>
      <c r="N149" s="8"/>
      <c r="O149" s="64"/>
      <c r="P149" s="63"/>
      <c r="Q149" s="62"/>
    </row>
    <row r="150" spans="1:17" ht="15" customHeight="1" outlineLevel="1"/>
    <row r="151" spans="1:17" ht="15" customHeight="1" outlineLevel="1"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spans="1:17" ht="15" customHeight="1" outlineLevel="1">
      <c r="D152" s="48" t="s">
        <v>11</v>
      </c>
      <c r="E152" s="43"/>
      <c r="F152" s="43"/>
      <c r="G152" s="43"/>
      <c r="H152" s="43"/>
      <c r="K152" s="11"/>
      <c r="L152" s="47" t="s">
        <v>10</v>
      </c>
      <c r="M152" s="39"/>
      <c r="N152" s="39"/>
      <c r="O152" s="39"/>
      <c r="P152" s="39"/>
    </row>
    <row r="153" spans="1:17" ht="15" customHeight="1" outlineLevel="1">
      <c r="D153" s="46"/>
      <c r="E153" s="46"/>
      <c r="F153" s="46"/>
      <c r="G153" s="46"/>
      <c r="H153" s="46"/>
      <c r="K153" s="11"/>
      <c r="L153" s="45"/>
      <c r="M153" s="45"/>
      <c r="N153" s="45"/>
      <c r="O153" s="45"/>
      <c r="P153" s="45"/>
    </row>
    <row r="154" spans="1:17" s="42" customFormat="1" ht="15" customHeight="1" outlineLevel="1">
      <c r="C154" s="61"/>
      <c r="D154" s="44" t="s">
        <v>26</v>
      </c>
      <c r="E154" s="43"/>
      <c r="F154" s="43"/>
      <c r="G154" s="43"/>
      <c r="H154" s="43"/>
      <c r="J154" s="8"/>
      <c r="K154" s="41"/>
      <c r="L154" s="40" t="s">
        <v>26</v>
      </c>
      <c r="M154" s="39"/>
      <c r="N154" s="39"/>
      <c r="O154" s="39"/>
      <c r="P154" s="39"/>
      <c r="Q154" s="8"/>
    </row>
    <row r="155" spans="1:17" ht="15" customHeight="1" outlineLevel="1">
      <c r="C155" s="60" t="e">
        <f>Model!#REF!</f>
        <v>#REF!</v>
      </c>
      <c r="D155" s="14" t="e">
        <f>E155-0.005</f>
        <v>#REF!</v>
      </c>
      <c r="E155" s="14" t="e">
        <f>F155-0.005</f>
        <v>#REF!</v>
      </c>
      <c r="F155" s="14" t="e">
        <f>Inputs!#REF!</f>
        <v>#REF!</v>
      </c>
      <c r="G155" s="14" t="e">
        <f>F155+0.005</f>
        <v>#REF!</v>
      </c>
      <c r="H155" s="14" t="e">
        <f>G155+0.005</f>
        <v>#REF!</v>
      </c>
      <c r="I155" s="11"/>
      <c r="K155" s="59"/>
      <c r="L155" s="14" t="e">
        <f>D155</f>
        <v>#REF!</v>
      </c>
      <c r="M155" s="14" t="e">
        <f>E155</f>
        <v>#REF!</v>
      </c>
      <c r="N155" s="14" t="e">
        <f>F155</f>
        <v>#REF!</v>
      </c>
      <c r="O155" s="14" t="e">
        <f>G155</f>
        <v>#REF!</v>
      </c>
      <c r="P155" s="14" t="e">
        <f>H155</f>
        <v>#REF!</v>
      </c>
    </row>
    <row r="156" spans="1:17" ht="15" customHeight="1" outlineLevel="1">
      <c r="B156" s="645" t="s">
        <v>6</v>
      </c>
      <c r="C156" s="14" t="e">
        <f>C157-0.01</f>
        <v>#REF!</v>
      </c>
      <c r="D156" s="36" t="e">
        <f t="dataTable" ref="D156:H160" dt2D="1" dtr="1" r1="O144" r2="O145"/>
        <v>#REF!</v>
      </c>
      <c r="E156" s="35" t="e">
        <v>#REF!</v>
      </c>
      <c r="F156" s="35" t="e">
        <v>#REF!</v>
      </c>
      <c r="G156" s="35" t="e">
        <v>#REF!</v>
      </c>
      <c r="H156" s="34" t="e">
        <v>#REF!</v>
      </c>
      <c r="I156" s="11"/>
      <c r="J156" s="645" t="s">
        <v>6</v>
      </c>
      <c r="K156" s="14" t="e">
        <f>C156</f>
        <v>#REF!</v>
      </c>
      <c r="L156" s="58" t="e">
        <f t="shared" ref="L156:P160" si="2">D169/$O$147</f>
        <v>#REF!</v>
      </c>
      <c r="M156" s="57" t="e">
        <f t="shared" si="2"/>
        <v>#REF!</v>
      </c>
      <c r="N156" s="57" t="e">
        <f t="shared" si="2"/>
        <v>#REF!</v>
      </c>
      <c r="O156" s="57" t="e">
        <f t="shared" si="2"/>
        <v>#REF!</v>
      </c>
      <c r="P156" s="56" t="e">
        <f t="shared" si="2"/>
        <v>#REF!</v>
      </c>
    </row>
    <row r="157" spans="1:17" ht="15" customHeight="1" outlineLevel="1">
      <c r="B157" s="645"/>
      <c r="C157" s="14" t="e">
        <f>C158-0.01</f>
        <v>#REF!</v>
      </c>
      <c r="D157" s="28" t="e">
        <v>#REF!</v>
      </c>
      <c r="E157" s="27" t="e">
        <v>#REF!</v>
      </c>
      <c r="F157" s="27" t="e">
        <v>#REF!</v>
      </c>
      <c r="G157" s="27" t="e">
        <v>#REF!</v>
      </c>
      <c r="H157" s="26" t="e">
        <v>#REF!</v>
      </c>
      <c r="I157" s="11"/>
      <c r="J157" s="645"/>
      <c r="K157" s="14" t="e">
        <f>C157</f>
        <v>#REF!</v>
      </c>
      <c r="L157" s="54" t="e">
        <f t="shared" si="2"/>
        <v>#REF!</v>
      </c>
      <c r="M157" s="53" t="e">
        <f t="shared" si="2"/>
        <v>#REF!</v>
      </c>
      <c r="N157" s="53" t="e">
        <f t="shared" si="2"/>
        <v>#REF!</v>
      </c>
      <c r="O157" s="53" t="e">
        <f t="shared" si="2"/>
        <v>#REF!</v>
      </c>
      <c r="P157" s="52" t="e">
        <f t="shared" si="2"/>
        <v>#REF!</v>
      </c>
    </row>
    <row r="158" spans="1:17" ht="15" customHeight="1" outlineLevel="1">
      <c r="B158" s="645"/>
      <c r="C158" s="14" t="e">
        <f>Inputs!#REF!</f>
        <v>#REF!</v>
      </c>
      <c r="D158" s="28" t="e">
        <v>#REF!</v>
      </c>
      <c r="E158" s="27" t="e">
        <v>#REF!</v>
      </c>
      <c r="F158" s="30" t="e">
        <v>#REF!</v>
      </c>
      <c r="G158" s="27" t="e">
        <v>#REF!</v>
      </c>
      <c r="H158" s="26" t="e">
        <v>#REF!</v>
      </c>
      <c r="I158" s="11"/>
      <c r="J158" s="645"/>
      <c r="K158" s="14" t="e">
        <f>C158</f>
        <v>#REF!</v>
      </c>
      <c r="L158" s="54" t="e">
        <f t="shared" si="2"/>
        <v>#REF!</v>
      </c>
      <c r="M158" s="53" t="e">
        <f t="shared" si="2"/>
        <v>#REF!</v>
      </c>
      <c r="N158" s="55" t="e">
        <f t="shared" si="2"/>
        <v>#REF!</v>
      </c>
      <c r="O158" s="53" t="e">
        <f t="shared" si="2"/>
        <v>#REF!</v>
      </c>
      <c r="P158" s="52" t="e">
        <f t="shared" si="2"/>
        <v>#REF!</v>
      </c>
    </row>
    <row r="159" spans="1:17" ht="15" customHeight="1" outlineLevel="1">
      <c r="B159" s="645"/>
      <c r="C159" s="14" t="e">
        <f>C158+0.01</f>
        <v>#REF!</v>
      </c>
      <c r="D159" s="28" t="e">
        <v>#REF!</v>
      </c>
      <c r="E159" s="27" t="e">
        <v>#REF!</v>
      </c>
      <c r="F159" s="27" t="e">
        <v>#REF!</v>
      </c>
      <c r="G159" s="27" t="e">
        <v>#REF!</v>
      </c>
      <c r="H159" s="26" t="e">
        <v>#REF!</v>
      </c>
      <c r="I159" s="11"/>
      <c r="J159" s="645"/>
      <c r="K159" s="14" t="e">
        <f>C159</f>
        <v>#REF!</v>
      </c>
      <c r="L159" s="54" t="e">
        <f t="shared" si="2"/>
        <v>#REF!</v>
      </c>
      <c r="M159" s="53" t="e">
        <f t="shared" si="2"/>
        <v>#REF!</v>
      </c>
      <c r="N159" s="53" t="e">
        <f t="shared" si="2"/>
        <v>#REF!</v>
      </c>
      <c r="O159" s="53" t="e">
        <f t="shared" si="2"/>
        <v>#REF!</v>
      </c>
      <c r="P159" s="52" t="e">
        <f t="shared" si="2"/>
        <v>#REF!</v>
      </c>
    </row>
    <row r="160" spans="1:17" ht="15" customHeight="1" outlineLevel="1">
      <c r="B160" s="645"/>
      <c r="C160" s="14" t="e">
        <f>C159+0.01</f>
        <v>#REF!</v>
      </c>
      <c r="D160" s="22" t="e">
        <v>#REF!</v>
      </c>
      <c r="E160" s="21" t="e">
        <v>#REF!</v>
      </c>
      <c r="F160" s="21" t="e">
        <v>#REF!</v>
      </c>
      <c r="G160" s="21" t="e">
        <v>#REF!</v>
      </c>
      <c r="H160" s="20" t="e">
        <v>#REF!</v>
      </c>
      <c r="I160" s="11"/>
      <c r="J160" s="645"/>
      <c r="K160" s="14" t="e">
        <f>C160</f>
        <v>#REF!</v>
      </c>
      <c r="L160" s="51" t="e">
        <f t="shared" si="2"/>
        <v>#REF!</v>
      </c>
      <c r="M160" s="50" t="e">
        <f t="shared" si="2"/>
        <v>#REF!</v>
      </c>
      <c r="N160" s="50" t="e">
        <f t="shared" si="2"/>
        <v>#REF!</v>
      </c>
      <c r="O160" s="50" t="e">
        <f t="shared" si="2"/>
        <v>#REF!</v>
      </c>
      <c r="P160" s="49" t="e">
        <f t="shared" si="2"/>
        <v>#REF!</v>
      </c>
    </row>
    <row r="161" spans="2:16" ht="15" customHeight="1" outlineLevel="1">
      <c r="C161" s="11"/>
      <c r="D161" s="11"/>
      <c r="E161" s="11"/>
      <c r="F161" s="11"/>
      <c r="G161" s="11"/>
      <c r="H161" s="11"/>
      <c r="I161" s="11"/>
    </row>
    <row r="162" spans="2:16" ht="15" customHeight="1" outlineLevel="1">
      <c r="C162" s="11"/>
      <c r="D162" s="11"/>
      <c r="E162" s="11"/>
      <c r="F162" s="11"/>
      <c r="G162" s="11"/>
      <c r="H162" s="11"/>
      <c r="I162" s="11"/>
      <c r="J162" s="11"/>
      <c r="K162" s="11"/>
      <c r="L162" s="47"/>
      <c r="M162" s="39"/>
      <c r="N162" s="39"/>
      <c r="O162" s="39"/>
      <c r="P162" s="39"/>
    </row>
    <row r="163" spans="2:16" ht="15" customHeight="1" outlineLevel="1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pans="2:16" ht="15" customHeight="1" outlineLevel="1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spans="2:16" ht="15" customHeight="1" outlineLevel="1">
      <c r="D165" s="48" t="s">
        <v>9</v>
      </c>
      <c r="E165" s="43"/>
      <c r="F165" s="43"/>
      <c r="G165" s="43"/>
      <c r="H165" s="43"/>
      <c r="I165" s="11"/>
      <c r="J165" s="11"/>
      <c r="K165" s="11"/>
      <c r="L165" s="47" t="s">
        <v>8</v>
      </c>
      <c r="M165" s="39"/>
      <c r="N165" s="39"/>
      <c r="O165" s="39"/>
      <c r="P165" s="39"/>
    </row>
    <row r="166" spans="2:16" ht="15" customHeight="1" outlineLevel="1">
      <c r="D166" s="46"/>
      <c r="E166" s="46"/>
      <c r="F166" s="46"/>
      <c r="G166" s="46"/>
      <c r="H166" s="46"/>
      <c r="I166" s="11"/>
      <c r="J166" s="11"/>
      <c r="K166" s="11"/>
      <c r="L166" s="45"/>
      <c r="M166" s="45"/>
      <c r="N166" s="45"/>
      <c r="O166" s="45"/>
      <c r="P166" s="45"/>
    </row>
    <row r="167" spans="2:16" ht="15" customHeight="1" outlineLevel="1">
      <c r="B167" s="42"/>
      <c r="C167" s="42"/>
      <c r="D167" s="44" t="s">
        <v>26</v>
      </c>
      <c r="E167" s="43"/>
      <c r="F167" s="43"/>
      <c r="G167" s="43"/>
      <c r="H167" s="43"/>
      <c r="I167" s="41"/>
      <c r="J167" s="41"/>
      <c r="K167" s="41"/>
      <c r="L167" s="40" t="s">
        <v>26</v>
      </c>
      <c r="M167" s="39"/>
      <c r="N167" s="39"/>
      <c r="O167" s="39"/>
      <c r="P167" s="39"/>
    </row>
    <row r="168" spans="2:16" ht="15" customHeight="1" outlineLevel="1">
      <c r="B168" s="11"/>
      <c r="C168" s="38"/>
      <c r="D168" s="110" t="e">
        <f>D155</f>
        <v>#REF!</v>
      </c>
      <c r="E168" s="110" t="e">
        <f>E155</f>
        <v>#REF!</v>
      </c>
      <c r="F168" s="110" t="e">
        <f>F155</f>
        <v>#REF!</v>
      </c>
      <c r="G168" s="110" t="e">
        <f>G155</f>
        <v>#REF!</v>
      </c>
      <c r="H168" s="110" t="e">
        <f>H155</f>
        <v>#REF!</v>
      </c>
      <c r="I168" s="11"/>
      <c r="J168" s="11"/>
      <c r="K168" s="38"/>
      <c r="L168" s="14" t="e">
        <f>D168</f>
        <v>#REF!</v>
      </c>
      <c r="M168" s="14" t="e">
        <f>E168</f>
        <v>#REF!</v>
      </c>
      <c r="N168" s="14" t="e">
        <f>F168</f>
        <v>#REF!</v>
      </c>
      <c r="O168" s="14" t="e">
        <f>G168</f>
        <v>#REF!</v>
      </c>
      <c r="P168" s="14" t="e">
        <f>H168</f>
        <v>#REF!</v>
      </c>
    </row>
    <row r="169" spans="2:16" ht="15" customHeight="1" outlineLevel="1">
      <c r="B169" s="644" t="s">
        <v>6</v>
      </c>
      <c r="C169" s="14" t="e">
        <f>C156</f>
        <v>#REF!</v>
      </c>
      <c r="D169" s="28" t="e">
        <f t="shared" ref="D169:H173" si="3">D156-$O$146</f>
        <v>#REF!</v>
      </c>
      <c r="E169" s="109" t="e">
        <f t="shared" si="3"/>
        <v>#REF!</v>
      </c>
      <c r="F169" s="109" t="e">
        <f t="shared" si="3"/>
        <v>#REF!</v>
      </c>
      <c r="G169" s="35" t="e">
        <f t="shared" si="3"/>
        <v>#REF!</v>
      </c>
      <c r="H169" s="34" t="e">
        <f t="shared" si="3"/>
        <v>#REF!</v>
      </c>
      <c r="I169" s="11"/>
      <c r="J169" s="644" t="s">
        <v>6</v>
      </c>
      <c r="K169" s="14" t="e">
        <f>C169</f>
        <v>#REF!</v>
      </c>
      <c r="L169" s="33" t="e">
        <f t="shared" ref="L169:P173" si="4">L156/$O$148-1</f>
        <v>#REF!</v>
      </c>
      <c r="M169" s="32" t="e">
        <f t="shared" si="4"/>
        <v>#REF!</v>
      </c>
      <c r="N169" s="32" t="e">
        <f t="shared" si="4"/>
        <v>#REF!</v>
      </c>
      <c r="O169" s="32" t="e">
        <f t="shared" si="4"/>
        <v>#REF!</v>
      </c>
      <c r="P169" s="31" t="e">
        <f t="shared" si="4"/>
        <v>#REF!</v>
      </c>
    </row>
    <row r="170" spans="2:16" ht="15" customHeight="1" outlineLevel="1">
      <c r="B170" s="644"/>
      <c r="C170" s="14" t="e">
        <f>C157</f>
        <v>#REF!</v>
      </c>
      <c r="D170" s="28" t="e">
        <f t="shared" si="3"/>
        <v>#REF!</v>
      </c>
      <c r="E170" s="27" t="e">
        <f t="shared" si="3"/>
        <v>#REF!</v>
      </c>
      <c r="F170" s="27" t="e">
        <f t="shared" si="3"/>
        <v>#REF!</v>
      </c>
      <c r="G170" s="27" t="e">
        <f t="shared" si="3"/>
        <v>#REF!</v>
      </c>
      <c r="H170" s="26" t="e">
        <f t="shared" si="3"/>
        <v>#REF!</v>
      </c>
      <c r="I170" s="11"/>
      <c r="J170" s="644"/>
      <c r="K170" s="14" t="e">
        <f>C170</f>
        <v>#REF!</v>
      </c>
      <c r="L170" s="25" t="e">
        <f t="shared" si="4"/>
        <v>#REF!</v>
      </c>
      <c r="M170" s="24" t="e">
        <f t="shared" si="4"/>
        <v>#REF!</v>
      </c>
      <c r="N170" s="24" t="e">
        <f t="shared" si="4"/>
        <v>#REF!</v>
      </c>
      <c r="O170" s="24" t="e">
        <f t="shared" si="4"/>
        <v>#REF!</v>
      </c>
      <c r="P170" s="23" t="e">
        <f t="shared" si="4"/>
        <v>#REF!</v>
      </c>
    </row>
    <row r="171" spans="2:16" ht="15" customHeight="1" outlineLevel="1">
      <c r="B171" s="644"/>
      <c r="C171" s="14" t="e">
        <f>C158</f>
        <v>#REF!</v>
      </c>
      <c r="D171" s="28" t="e">
        <f t="shared" si="3"/>
        <v>#REF!</v>
      </c>
      <c r="E171" s="27" t="e">
        <f t="shared" si="3"/>
        <v>#REF!</v>
      </c>
      <c r="F171" s="30" t="e">
        <f t="shared" si="3"/>
        <v>#REF!</v>
      </c>
      <c r="G171" s="27" t="e">
        <f t="shared" si="3"/>
        <v>#REF!</v>
      </c>
      <c r="H171" s="26" t="e">
        <f t="shared" si="3"/>
        <v>#REF!</v>
      </c>
      <c r="I171" s="11"/>
      <c r="J171" s="644"/>
      <c r="K171" s="14" t="e">
        <f>C171</f>
        <v>#REF!</v>
      </c>
      <c r="L171" s="25" t="e">
        <f t="shared" si="4"/>
        <v>#REF!</v>
      </c>
      <c r="M171" s="24" t="e">
        <f t="shared" si="4"/>
        <v>#REF!</v>
      </c>
      <c r="N171" s="29" t="e">
        <f t="shared" si="4"/>
        <v>#REF!</v>
      </c>
      <c r="O171" s="24" t="e">
        <f t="shared" si="4"/>
        <v>#REF!</v>
      </c>
      <c r="P171" s="23" t="e">
        <f t="shared" si="4"/>
        <v>#REF!</v>
      </c>
    </row>
    <row r="172" spans="2:16" ht="15" customHeight="1" outlineLevel="1">
      <c r="B172" s="644"/>
      <c r="C172" s="14" t="e">
        <f>C159</f>
        <v>#REF!</v>
      </c>
      <c r="D172" s="28" t="e">
        <f t="shared" si="3"/>
        <v>#REF!</v>
      </c>
      <c r="E172" s="27" t="e">
        <f t="shared" si="3"/>
        <v>#REF!</v>
      </c>
      <c r="F172" s="27" t="e">
        <f t="shared" si="3"/>
        <v>#REF!</v>
      </c>
      <c r="G172" s="27" t="e">
        <f t="shared" si="3"/>
        <v>#REF!</v>
      </c>
      <c r="H172" s="26" t="e">
        <f t="shared" si="3"/>
        <v>#REF!</v>
      </c>
      <c r="I172" s="11"/>
      <c r="J172" s="644"/>
      <c r="K172" s="14" t="e">
        <f>C172</f>
        <v>#REF!</v>
      </c>
      <c r="L172" s="25" t="e">
        <f t="shared" si="4"/>
        <v>#REF!</v>
      </c>
      <c r="M172" s="24" t="e">
        <f t="shared" si="4"/>
        <v>#REF!</v>
      </c>
      <c r="N172" s="24" t="e">
        <f t="shared" si="4"/>
        <v>#REF!</v>
      </c>
      <c r="O172" s="24" t="e">
        <f t="shared" si="4"/>
        <v>#REF!</v>
      </c>
      <c r="P172" s="23" t="e">
        <f t="shared" si="4"/>
        <v>#REF!</v>
      </c>
    </row>
    <row r="173" spans="2:16" ht="15" customHeight="1" outlineLevel="1">
      <c r="B173" s="644"/>
      <c r="C173" s="14" t="e">
        <f>C160</f>
        <v>#REF!</v>
      </c>
      <c r="D173" s="22" t="e">
        <f t="shared" si="3"/>
        <v>#REF!</v>
      </c>
      <c r="E173" s="21" t="e">
        <f t="shared" si="3"/>
        <v>#REF!</v>
      </c>
      <c r="F173" s="21" t="e">
        <f t="shared" si="3"/>
        <v>#REF!</v>
      </c>
      <c r="G173" s="21" t="e">
        <f t="shared" si="3"/>
        <v>#REF!</v>
      </c>
      <c r="H173" s="20" t="e">
        <f t="shared" si="3"/>
        <v>#REF!</v>
      </c>
      <c r="I173" s="11"/>
      <c r="J173" s="644"/>
      <c r="K173" s="14" t="e">
        <f>C173</f>
        <v>#REF!</v>
      </c>
      <c r="L173" s="19" t="e">
        <f t="shared" si="4"/>
        <v>#REF!</v>
      </c>
      <c r="M173" s="18" t="e">
        <f t="shared" si="4"/>
        <v>#REF!</v>
      </c>
      <c r="N173" s="18" t="e">
        <f t="shared" si="4"/>
        <v>#REF!</v>
      </c>
      <c r="O173" s="18" t="e">
        <f t="shared" si="4"/>
        <v>#REF!</v>
      </c>
      <c r="P173" s="17" t="e">
        <f t="shared" si="4"/>
        <v>#REF!</v>
      </c>
    </row>
    <row r="174" spans="2:16" ht="15" customHeight="1" outlineLevel="1">
      <c r="B174" s="15"/>
      <c r="C174" s="14"/>
      <c r="D174" s="16"/>
      <c r="E174" s="16"/>
      <c r="F174" s="16"/>
      <c r="G174" s="16"/>
      <c r="H174" s="16"/>
      <c r="I174" s="11"/>
      <c r="J174" s="15"/>
      <c r="K174" s="14"/>
      <c r="L174" s="13"/>
      <c r="M174" s="13"/>
      <c r="N174" s="13"/>
      <c r="O174" s="13"/>
      <c r="P174" s="13"/>
    </row>
    <row r="175" spans="2:16" ht="15" customHeight="1" outlineLevel="1">
      <c r="B175" s="15"/>
      <c r="C175" s="14"/>
      <c r="D175" s="16"/>
      <c r="E175" s="16"/>
      <c r="F175" s="16"/>
      <c r="G175" s="16"/>
      <c r="H175" s="16"/>
      <c r="I175" s="11"/>
      <c r="J175" s="15"/>
      <c r="K175" s="14"/>
      <c r="L175" s="13"/>
      <c r="M175" s="13"/>
      <c r="N175" s="13"/>
      <c r="O175" s="13"/>
      <c r="P175" s="12" t="s">
        <v>5</v>
      </c>
    </row>
    <row r="176" spans="2:16" ht="15" customHeight="1" outlineLevel="1"/>
    <row r="177" spans="1:17" ht="15" customHeight="1" outlineLevel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7" ht="15" customHeight="1"/>
    <row r="179" spans="1:17" ht="15" customHeight="1">
      <c r="A179" s="8" t="s">
        <v>0</v>
      </c>
      <c r="B179" s="108" t="s">
        <v>25</v>
      </c>
      <c r="C179" s="107"/>
      <c r="D179" s="107"/>
      <c r="E179" s="106"/>
      <c r="F179" s="106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</row>
    <row r="180" spans="1:17" ht="15" customHeight="1" outlineLevel="1">
      <c r="B180" s="86"/>
      <c r="C180" s="104"/>
      <c r="D180" s="104"/>
      <c r="E180" s="103"/>
      <c r="F180" s="103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</row>
    <row r="181" spans="1:17" ht="15" customHeight="1" outlineLevel="1">
      <c r="F181" s="96"/>
      <c r="G181" s="101"/>
      <c r="H181" s="96"/>
      <c r="I181" s="96"/>
      <c r="J181" s="100"/>
      <c r="K181" s="100"/>
      <c r="L181" s="65"/>
      <c r="M181" s="65"/>
      <c r="N181" s="65"/>
      <c r="O181" s="65"/>
    </row>
    <row r="182" spans="1:17" ht="15" customHeight="1" outlineLevel="1">
      <c r="D182" s="65" t="s">
        <v>24</v>
      </c>
      <c r="F182" s="96"/>
      <c r="L182" s="99" t="s">
        <v>23</v>
      </c>
      <c r="M182" s="43"/>
      <c r="N182" s="43"/>
      <c r="O182" s="43"/>
    </row>
    <row r="183" spans="1:17" ht="15" customHeight="1" outlineLevel="1"/>
    <row r="184" spans="1:17" ht="15" customHeight="1" outlineLevel="1"/>
    <row r="185" spans="1:17" ht="15" customHeight="1" outlineLevel="1">
      <c r="D185" s="98" t="s">
        <v>22</v>
      </c>
      <c r="E185" s="43"/>
      <c r="F185" s="43"/>
      <c r="G185" s="43"/>
      <c r="H185" s="43"/>
      <c r="L185" s="98" t="s">
        <v>21</v>
      </c>
      <c r="M185" s="43"/>
      <c r="N185" s="43"/>
      <c r="O185" s="43"/>
    </row>
    <row r="186" spans="1:17" ht="15" customHeight="1" outlineLevel="1">
      <c r="B186" s="66"/>
      <c r="C186" s="66"/>
      <c r="D186" s="97"/>
      <c r="E186" s="97"/>
      <c r="F186" s="97"/>
      <c r="G186" s="97"/>
      <c r="H186" s="97"/>
      <c r="I186" s="96"/>
      <c r="J186" s="95"/>
      <c r="K186" s="95"/>
      <c r="L186" s="46"/>
      <c r="M186" s="46"/>
      <c r="N186" s="46"/>
      <c r="O186" s="46"/>
      <c r="P186" s="66"/>
      <c r="Q186" s="66"/>
    </row>
    <row r="187" spans="1:17" ht="15" customHeight="1" outlineLevel="1">
      <c r="D187" s="66"/>
      <c r="E187" s="66"/>
      <c r="F187" s="94" t="s">
        <v>20</v>
      </c>
      <c r="G187" s="94" t="s">
        <v>19</v>
      </c>
      <c r="H187" s="94" t="s">
        <v>19</v>
      </c>
      <c r="I187" s="90"/>
      <c r="J187" s="90"/>
      <c r="K187" s="90"/>
    </row>
    <row r="188" spans="1:17" ht="15" customHeight="1" outlineLevel="1">
      <c r="D188" s="66"/>
      <c r="E188" s="66"/>
      <c r="F188" s="94" t="s">
        <v>18</v>
      </c>
      <c r="G188" s="94" t="s">
        <v>18</v>
      </c>
      <c r="H188" s="94" t="s">
        <v>17</v>
      </c>
      <c r="I188" s="90"/>
      <c r="J188" s="90"/>
      <c r="K188" s="90"/>
      <c r="L188" s="65" t="s">
        <v>7</v>
      </c>
      <c r="M188" s="65"/>
      <c r="N188" s="64"/>
      <c r="O188" s="93" t="e">
        <f>+Inputs!#REF!</f>
        <v>#REF!</v>
      </c>
    </row>
    <row r="189" spans="1:17" ht="15" customHeight="1" outlineLevel="1">
      <c r="F189" s="92" t="e">
        <f>Model!#REF!</f>
        <v>#REF!</v>
      </c>
      <c r="G189" s="91"/>
      <c r="H189" s="91"/>
      <c r="I189" s="90"/>
      <c r="J189" s="90"/>
      <c r="K189" s="90"/>
      <c r="L189" s="65" t="s">
        <v>6</v>
      </c>
      <c r="N189" s="64"/>
      <c r="O189" s="10" t="e">
        <f>Inputs!#REF!</f>
        <v>#REF!</v>
      </c>
      <c r="P189" s="69"/>
    </row>
    <row r="190" spans="1:17" ht="15" customHeight="1" outlineLevel="1">
      <c r="B190" s="86"/>
      <c r="D190" s="73" t="str">
        <f>D146</f>
        <v>Best Case</v>
      </c>
      <c r="E190" s="77">
        <v>1</v>
      </c>
      <c r="F190" s="89" t="e">
        <f t="dataTable" ref="F190:F192" dt2D="0" dtr="0" r1="F138"/>
        <v>#REF!</v>
      </c>
      <c r="G190" s="88" t="e">
        <f>F190-$O$190</f>
        <v>#REF!</v>
      </c>
      <c r="H190" s="87" t="e">
        <f>+G190/$O$191</f>
        <v>#REF!</v>
      </c>
      <c r="I190" s="82"/>
      <c r="J190" s="81"/>
      <c r="K190" s="81"/>
      <c r="L190" s="65" t="s">
        <v>16</v>
      </c>
      <c r="N190" s="80" t="str">
        <f>N146</f>
        <v>(End of 2027)</v>
      </c>
      <c r="O190" s="79" t="e">
        <f>Inputs!#REF!</f>
        <v>#REF!</v>
      </c>
      <c r="P190" s="69"/>
    </row>
    <row r="191" spans="1:17" ht="15" customHeight="1" outlineLevel="1">
      <c r="B191" s="86"/>
      <c r="D191" s="73" t="str">
        <f>D147</f>
        <v>Base Case</v>
      </c>
      <c r="E191" s="77">
        <v>2</v>
      </c>
      <c r="F191" s="85" t="e">
        <v>#REF!</v>
      </c>
      <c r="G191" s="84" t="e">
        <f>F191-$O$190</f>
        <v>#REF!</v>
      </c>
      <c r="H191" s="83" t="e">
        <f>+G191/$O$191</f>
        <v>#REF!</v>
      </c>
      <c r="I191" s="82"/>
      <c r="J191" s="81"/>
      <c r="K191" s="81"/>
      <c r="L191" s="65" t="s">
        <v>15</v>
      </c>
      <c r="M191" s="65"/>
      <c r="N191" s="80" t="s">
        <v>14</v>
      </c>
      <c r="O191" s="79" t="e">
        <f>Inputs!#REF!</f>
        <v>#REF!</v>
      </c>
      <c r="P191" s="69"/>
      <c r="Q191" s="62"/>
    </row>
    <row r="192" spans="1:17" ht="15" customHeight="1" outlineLevel="1">
      <c r="B192" s="78"/>
      <c r="C192" s="66"/>
      <c r="D192" s="73" t="str">
        <f>D148</f>
        <v>Worst Case</v>
      </c>
      <c r="E192" s="77">
        <v>3</v>
      </c>
      <c r="F192" s="76" t="e">
        <v>#REF!</v>
      </c>
      <c r="G192" s="75" t="e">
        <f>F192-$O$190</f>
        <v>#REF!</v>
      </c>
      <c r="H192" s="74" t="e">
        <f>+G192/$O$191</f>
        <v>#REF!</v>
      </c>
      <c r="I192" s="67"/>
      <c r="J192" s="67"/>
      <c r="K192" s="66"/>
      <c r="L192" s="73" t="s">
        <v>13</v>
      </c>
      <c r="M192" s="72"/>
      <c r="N192" s="71" t="s">
        <v>12</v>
      </c>
      <c r="O192" s="70" t="e">
        <f>Inputs!#REF!</f>
        <v>#REF!</v>
      </c>
      <c r="P192" s="69"/>
      <c r="Q192" s="66"/>
    </row>
    <row r="193" spans="2:17" ht="15" customHeight="1" outlineLevel="1">
      <c r="B193" s="68"/>
      <c r="C193" s="66"/>
      <c r="D193" s="66"/>
      <c r="I193" s="67"/>
      <c r="J193" s="67"/>
      <c r="K193" s="66"/>
      <c r="L193" s="65"/>
      <c r="O193" s="64"/>
      <c r="P193" s="63"/>
      <c r="Q193" s="62"/>
    </row>
    <row r="194" spans="2:17" ht="15" customHeight="1" outlineLevel="1"/>
    <row r="195" spans="2:17" ht="15" customHeight="1" outlineLevel="1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2:17" ht="15" customHeight="1" outlineLevel="1">
      <c r="D196" s="48" t="s">
        <v>11</v>
      </c>
      <c r="E196" s="43"/>
      <c r="F196" s="43"/>
      <c r="G196" s="43"/>
      <c r="H196" s="43"/>
      <c r="K196" s="11"/>
      <c r="L196" s="47" t="s">
        <v>10</v>
      </c>
      <c r="M196" s="39"/>
      <c r="N196" s="39"/>
      <c r="O196" s="39"/>
      <c r="P196" s="39"/>
      <c r="Q196" s="11"/>
    </row>
    <row r="197" spans="2:17" ht="15" customHeight="1" outlineLevel="1">
      <c r="D197" s="46"/>
      <c r="E197" s="46"/>
      <c r="F197" s="46"/>
      <c r="G197" s="46"/>
      <c r="H197" s="46"/>
      <c r="K197" s="11"/>
      <c r="L197" s="45"/>
      <c r="M197" s="45"/>
      <c r="N197" s="45"/>
      <c r="O197" s="45"/>
      <c r="P197" s="45"/>
      <c r="Q197" s="11"/>
    </row>
    <row r="198" spans="2:17" ht="15" customHeight="1" outlineLevel="1">
      <c r="B198" s="42"/>
      <c r="C198" s="61"/>
      <c r="D198" s="44" t="s">
        <v>7</v>
      </c>
      <c r="E198" s="43"/>
      <c r="F198" s="43"/>
      <c r="G198" s="43"/>
      <c r="H198" s="43"/>
      <c r="I198" s="42"/>
      <c r="K198" s="41"/>
      <c r="L198" s="40" t="s">
        <v>7</v>
      </c>
      <c r="M198" s="39"/>
      <c r="N198" s="39"/>
      <c r="O198" s="39"/>
      <c r="P198" s="39"/>
      <c r="Q198" s="41"/>
    </row>
    <row r="199" spans="2:17" ht="15" customHeight="1" outlineLevel="1">
      <c r="C199" s="60" t="e">
        <f>Model!#REF!</f>
        <v>#REF!</v>
      </c>
      <c r="D199" s="37" t="e">
        <f>E199-0.5</f>
        <v>#REF!</v>
      </c>
      <c r="E199" s="37" t="e">
        <f>F199-0.5</f>
        <v>#REF!</v>
      </c>
      <c r="F199" s="37" t="e">
        <f>+Inputs!#REF!</f>
        <v>#REF!</v>
      </c>
      <c r="G199" s="37" t="e">
        <f>+F199+0.5</f>
        <v>#REF!</v>
      </c>
      <c r="H199" s="37" t="e">
        <f>+G199+0.5</f>
        <v>#REF!</v>
      </c>
      <c r="I199" s="11"/>
      <c r="K199" s="59"/>
      <c r="L199" s="37" t="e">
        <f>D199</f>
        <v>#REF!</v>
      </c>
      <c r="M199" s="37" t="e">
        <f>E199</f>
        <v>#REF!</v>
      </c>
      <c r="N199" s="37" t="e">
        <f>F199</f>
        <v>#REF!</v>
      </c>
      <c r="O199" s="37" t="e">
        <f>G199</f>
        <v>#REF!</v>
      </c>
      <c r="P199" s="37" t="e">
        <f>H199</f>
        <v>#REF!</v>
      </c>
      <c r="Q199" s="11"/>
    </row>
    <row r="200" spans="2:17" ht="15" customHeight="1" outlineLevel="1">
      <c r="B200" s="645" t="s">
        <v>6</v>
      </c>
      <c r="C200" s="14" t="e">
        <f>C201-0.01</f>
        <v>#REF!</v>
      </c>
      <c r="D200" s="36" t="e">
        <f t="dataTable" ref="D200:H204" dt2D="1" dtr="1" r1="O188" r2="O189"/>
        <v>#REF!</v>
      </c>
      <c r="E200" s="35" t="e">
        <v>#REF!</v>
      </c>
      <c r="F200" s="35" t="e">
        <v>#REF!</v>
      </c>
      <c r="G200" s="35" t="e">
        <v>#REF!</v>
      </c>
      <c r="H200" s="34" t="e">
        <v>#REF!</v>
      </c>
      <c r="I200" s="11"/>
      <c r="J200" s="645" t="s">
        <v>6</v>
      </c>
      <c r="K200" s="14" t="e">
        <f>C200</f>
        <v>#REF!</v>
      </c>
      <c r="L200" s="58" t="e">
        <f t="shared" ref="L200:P204" si="5">D213/$O$191</f>
        <v>#REF!</v>
      </c>
      <c r="M200" s="57" t="e">
        <f t="shared" si="5"/>
        <v>#REF!</v>
      </c>
      <c r="N200" s="57" t="e">
        <f t="shared" si="5"/>
        <v>#REF!</v>
      </c>
      <c r="O200" s="57" t="e">
        <f t="shared" si="5"/>
        <v>#REF!</v>
      </c>
      <c r="P200" s="56" t="e">
        <f t="shared" si="5"/>
        <v>#REF!</v>
      </c>
      <c r="Q200" s="11"/>
    </row>
    <row r="201" spans="2:17" ht="15" customHeight="1" outlineLevel="1">
      <c r="B201" s="645"/>
      <c r="C201" s="14" t="e">
        <f>C202-0.01</f>
        <v>#REF!</v>
      </c>
      <c r="D201" s="28" t="e">
        <v>#REF!</v>
      </c>
      <c r="E201" s="27" t="e">
        <v>#REF!</v>
      </c>
      <c r="F201" s="27" t="e">
        <v>#REF!</v>
      </c>
      <c r="G201" s="27" t="e">
        <v>#REF!</v>
      </c>
      <c r="H201" s="26" t="e">
        <v>#REF!</v>
      </c>
      <c r="I201" s="11"/>
      <c r="J201" s="645"/>
      <c r="K201" s="14" t="e">
        <f>C201</f>
        <v>#REF!</v>
      </c>
      <c r="L201" s="54" t="e">
        <f t="shared" si="5"/>
        <v>#REF!</v>
      </c>
      <c r="M201" s="53" t="e">
        <f t="shared" si="5"/>
        <v>#REF!</v>
      </c>
      <c r="N201" s="53" t="e">
        <f t="shared" si="5"/>
        <v>#REF!</v>
      </c>
      <c r="O201" s="53" t="e">
        <f t="shared" si="5"/>
        <v>#REF!</v>
      </c>
      <c r="P201" s="52" t="e">
        <f t="shared" si="5"/>
        <v>#REF!</v>
      </c>
      <c r="Q201" s="11"/>
    </row>
    <row r="202" spans="2:17" ht="15" customHeight="1" outlineLevel="1">
      <c r="B202" s="645"/>
      <c r="C202" s="14" t="e">
        <f>Inputs!#REF!</f>
        <v>#REF!</v>
      </c>
      <c r="D202" s="28" t="e">
        <v>#REF!</v>
      </c>
      <c r="E202" s="27" t="e">
        <v>#REF!</v>
      </c>
      <c r="F202" s="30" t="e">
        <v>#REF!</v>
      </c>
      <c r="G202" s="27" t="e">
        <v>#REF!</v>
      </c>
      <c r="H202" s="26" t="e">
        <v>#REF!</v>
      </c>
      <c r="I202" s="11"/>
      <c r="J202" s="645"/>
      <c r="K202" s="14" t="e">
        <f>C202</f>
        <v>#REF!</v>
      </c>
      <c r="L202" s="54" t="e">
        <f t="shared" si="5"/>
        <v>#REF!</v>
      </c>
      <c r="M202" s="53" t="e">
        <f t="shared" si="5"/>
        <v>#REF!</v>
      </c>
      <c r="N202" s="55" t="e">
        <f t="shared" si="5"/>
        <v>#REF!</v>
      </c>
      <c r="O202" s="53" t="e">
        <f t="shared" si="5"/>
        <v>#REF!</v>
      </c>
      <c r="P202" s="52" t="e">
        <f t="shared" si="5"/>
        <v>#REF!</v>
      </c>
      <c r="Q202" s="11"/>
    </row>
    <row r="203" spans="2:17" ht="15" customHeight="1" outlineLevel="1">
      <c r="B203" s="645"/>
      <c r="C203" s="14" t="e">
        <f>C202+0.01</f>
        <v>#REF!</v>
      </c>
      <c r="D203" s="28" t="e">
        <v>#REF!</v>
      </c>
      <c r="E203" s="27" t="e">
        <v>#REF!</v>
      </c>
      <c r="F203" s="27" t="e">
        <v>#REF!</v>
      </c>
      <c r="G203" s="27" t="e">
        <v>#REF!</v>
      </c>
      <c r="H203" s="26" t="e">
        <v>#REF!</v>
      </c>
      <c r="I203" s="11"/>
      <c r="J203" s="645"/>
      <c r="K203" s="14" t="e">
        <f>C203</f>
        <v>#REF!</v>
      </c>
      <c r="L203" s="54" t="e">
        <f t="shared" si="5"/>
        <v>#REF!</v>
      </c>
      <c r="M203" s="53" t="e">
        <f t="shared" si="5"/>
        <v>#REF!</v>
      </c>
      <c r="N203" s="53" t="e">
        <f t="shared" si="5"/>
        <v>#REF!</v>
      </c>
      <c r="O203" s="53" t="e">
        <f t="shared" si="5"/>
        <v>#REF!</v>
      </c>
      <c r="P203" s="52" t="e">
        <f t="shared" si="5"/>
        <v>#REF!</v>
      </c>
      <c r="Q203" s="11"/>
    </row>
    <row r="204" spans="2:17" ht="15" customHeight="1" outlineLevel="1">
      <c r="B204" s="645"/>
      <c r="C204" s="14" t="e">
        <f>C203+0.01</f>
        <v>#REF!</v>
      </c>
      <c r="D204" s="22" t="e">
        <v>#REF!</v>
      </c>
      <c r="E204" s="21" t="e">
        <v>#REF!</v>
      </c>
      <c r="F204" s="21" t="e">
        <v>#REF!</v>
      </c>
      <c r="G204" s="21" t="e">
        <v>#REF!</v>
      </c>
      <c r="H204" s="20" t="e">
        <v>#REF!</v>
      </c>
      <c r="I204" s="11"/>
      <c r="J204" s="645"/>
      <c r="K204" s="14" t="e">
        <f>C204</f>
        <v>#REF!</v>
      </c>
      <c r="L204" s="51" t="e">
        <f t="shared" si="5"/>
        <v>#REF!</v>
      </c>
      <c r="M204" s="50" t="e">
        <f t="shared" si="5"/>
        <v>#REF!</v>
      </c>
      <c r="N204" s="50" t="e">
        <f t="shared" si="5"/>
        <v>#REF!</v>
      </c>
      <c r="O204" s="50" t="e">
        <f t="shared" si="5"/>
        <v>#REF!</v>
      </c>
      <c r="P204" s="49" t="e">
        <f t="shared" si="5"/>
        <v>#REF!</v>
      </c>
      <c r="Q204" s="11"/>
    </row>
    <row r="205" spans="2:17" ht="15" customHeight="1" outlineLevel="1">
      <c r="C205" s="11"/>
      <c r="D205" s="11"/>
      <c r="E205" s="11"/>
      <c r="F205" s="11"/>
      <c r="G205" s="11"/>
      <c r="H205" s="11"/>
      <c r="I205" s="11"/>
    </row>
    <row r="206" spans="2:17" ht="15" customHeight="1" outlineLevel="1">
      <c r="C206" s="11"/>
      <c r="D206" s="11"/>
      <c r="E206" s="11"/>
      <c r="F206" s="11"/>
      <c r="G206" s="11"/>
      <c r="H206" s="11"/>
      <c r="I206" s="11"/>
      <c r="J206" s="11"/>
      <c r="K206" s="11"/>
      <c r="L206" s="47"/>
      <c r="M206" s="39"/>
      <c r="N206" s="39"/>
      <c r="O206" s="39"/>
      <c r="P206" s="39"/>
    </row>
    <row r="207" spans="2:17" ht="15" customHeight="1" outlineLevel="1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2:17" ht="15" customHeight="1" outlineLevel="1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2:16" ht="15" customHeight="1" outlineLevel="1">
      <c r="D209" s="48" t="s">
        <v>9</v>
      </c>
      <c r="E209" s="43"/>
      <c r="F209" s="43"/>
      <c r="G209" s="43"/>
      <c r="H209" s="43"/>
      <c r="J209" s="11"/>
      <c r="K209" s="11"/>
      <c r="L209" s="47" t="s">
        <v>8</v>
      </c>
      <c r="M209" s="39"/>
      <c r="N209" s="39"/>
      <c r="O209" s="39"/>
      <c r="P209" s="39"/>
    </row>
    <row r="210" spans="2:16" ht="15" customHeight="1" outlineLevel="1">
      <c r="D210" s="46"/>
      <c r="E210" s="46"/>
      <c r="F210" s="46"/>
      <c r="G210" s="46"/>
      <c r="H210" s="46"/>
      <c r="J210" s="11"/>
      <c r="K210" s="11"/>
      <c r="L210" s="45"/>
      <c r="M210" s="45"/>
      <c r="N210" s="45"/>
      <c r="O210" s="45"/>
      <c r="P210" s="45"/>
    </row>
    <row r="211" spans="2:16" ht="15" customHeight="1" outlineLevel="1">
      <c r="B211" s="42"/>
      <c r="C211" s="42"/>
      <c r="D211" s="44" t="s">
        <v>7</v>
      </c>
      <c r="E211" s="43"/>
      <c r="F211" s="43"/>
      <c r="G211" s="43"/>
      <c r="H211" s="43"/>
      <c r="I211" s="42"/>
      <c r="J211" s="41"/>
      <c r="K211" s="41"/>
      <c r="L211" s="40" t="s">
        <v>7</v>
      </c>
      <c r="M211" s="39"/>
      <c r="N211" s="39"/>
      <c r="O211" s="39"/>
      <c r="P211" s="39"/>
    </row>
    <row r="212" spans="2:16" ht="15" customHeight="1" outlineLevel="1">
      <c r="B212" s="11"/>
      <c r="C212" s="38"/>
      <c r="D212" s="37" t="e">
        <f>D199</f>
        <v>#REF!</v>
      </c>
      <c r="E212" s="37" t="e">
        <f>E199</f>
        <v>#REF!</v>
      </c>
      <c r="F212" s="37" t="e">
        <f>F199</f>
        <v>#REF!</v>
      </c>
      <c r="G212" s="37" t="e">
        <f>G199</f>
        <v>#REF!</v>
      </c>
      <c r="H212" s="37" t="e">
        <f>H199</f>
        <v>#REF!</v>
      </c>
      <c r="J212" s="11"/>
      <c r="K212" s="38"/>
      <c r="L212" s="37" t="e">
        <f>D212</f>
        <v>#REF!</v>
      </c>
      <c r="M212" s="37" t="e">
        <f>E212</f>
        <v>#REF!</v>
      </c>
      <c r="N212" s="37" t="e">
        <f>F212</f>
        <v>#REF!</v>
      </c>
      <c r="O212" s="37" t="e">
        <f>G212</f>
        <v>#REF!</v>
      </c>
      <c r="P212" s="37" t="e">
        <f>H212</f>
        <v>#REF!</v>
      </c>
    </row>
    <row r="213" spans="2:16" ht="15" customHeight="1" outlineLevel="1">
      <c r="B213" s="644" t="s">
        <v>6</v>
      </c>
      <c r="C213" s="14" t="e">
        <f>C200</f>
        <v>#REF!</v>
      </c>
      <c r="D213" s="36" t="e">
        <f t="shared" ref="D213:H217" si="6">D200-$O$190</f>
        <v>#REF!</v>
      </c>
      <c r="E213" s="35" t="e">
        <f t="shared" si="6"/>
        <v>#REF!</v>
      </c>
      <c r="F213" s="35" t="e">
        <f t="shared" si="6"/>
        <v>#REF!</v>
      </c>
      <c r="G213" s="35" t="e">
        <f t="shared" si="6"/>
        <v>#REF!</v>
      </c>
      <c r="H213" s="34" t="e">
        <f t="shared" si="6"/>
        <v>#REF!</v>
      </c>
      <c r="J213" s="644" t="s">
        <v>6</v>
      </c>
      <c r="K213" s="14" t="e">
        <f>C213</f>
        <v>#REF!</v>
      </c>
      <c r="L213" s="33" t="e">
        <f t="shared" ref="L213:P217" si="7">L200/$O$192-1</f>
        <v>#REF!</v>
      </c>
      <c r="M213" s="32" t="e">
        <f t="shared" si="7"/>
        <v>#REF!</v>
      </c>
      <c r="N213" s="32" t="e">
        <f t="shared" si="7"/>
        <v>#REF!</v>
      </c>
      <c r="O213" s="32" t="e">
        <f t="shared" si="7"/>
        <v>#REF!</v>
      </c>
      <c r="P213" s="31" t="e">
        <f t="shared" si="7"/>
        <v>#REF!</v>
      </c>
    </row>
    <row r="214" spans="2:16" ht="15" customHeight="1" outlineLevel="1">
      <c r="B214" s="644"/>
      <c r="C214" s="14" t="e">
        <f>C201</f>
        <v>#REF!</v>
      </c>
      <c r="D214" s="28" t="e">
        <f t="shared" si="6"/>
        <v>#REF!</v>
      </c>
      <c r="E214" s="27" t="e">
        <f t="shared" si="6"/>
        <v>#REF!</v>
      </c>
      <c r="F214" s="27" t="e">
        <f t="shared" si="6"/>
        <v>#REF!</v>
      </c>
      <c r="G214" s="27" t="e">
        <f t="shared" si="6"/>
        <v>#REF!</v>
      </c>
      <c r="H214" s="26" t="e">
        <f t="shared" si="6"/>
        <v>#REF!</v>
      </c>
      <c r="J214" s="644"/>
      <c r="K214" s="14" t="e">
        <f>C214</f>
        <v>#REF!</v>
      </c>
      <c r="L214" s="25" t="e">
        <f t="shared" si="7"/>
        <v>#REF!</v>
      </c>
      <c r="M214" s="24" t="e">
        <f t="shared" si="7"/>
        <v>#REF!</v>
      </c>
      <c r="N214" s="24" t="e">
        <f t="shared" si="7"/>
        <v>#REF!</v>
      </c>
      <c r="O214" s="24" t="e">
        <f t="shared" si="7"/>
        <v>#REF!</v>
      </c>
      <c r="P214" s="23" t="e">
        <f t="shared" si="7"/>
        <v>#REF!</v>
      </c>
    </row>
    <row r="215" spans="2:16" ht="15" customHeight="1" outlineLevel="1">
      <c r="B215" s="644"/>
      <c r="C215" s="14" t="e">
        <f>C202</f>
        <v>#REF!</v>
      </c>
      <c r="D215" s="28" t="e">
        <f t="shared" si="6"/>
        <v>#REF!</v>
      </c>
      <c r="E215" s="27" t="e">
        <f t="shared" si="6"/>
        <v>#REF!</v>
      </c>
      <c r="F215" s="30" t="e">
        <f t="shared" si="6"/>
        <v>#REF!</v>
      </c>
      <c r="G215" s="27" t="e">
        <f t="shared" si="6"/>
        <v>#REF!</v>
      </c>
      <c r="H215" s="26" t="e">
        <f t="shared" si="6"/>
        <v>#REF!</v>
      </c>
      <c r="J215" s="644"/>
      <c r="K215" s="14" t="e">
        <f>C215</f>
        <v>#REF!</v>
      </c>
      <c r="L215" s="25" t="e">
        <f t="shared" si="7"/>
        <v>#REF!</v>
      </c>
      <c r="M215" s="24" t="e">
        <f t="shared" si="7"/>
        <v>#REF!</v>
      </c>
      <c r="N215" s="29" t="e">
        <f t="shared" si="7"/>
        <v>#REF!</v>
      </c>
      <c r="O215" s="24" t="e">
        <f t="shared" si="7"/>
        <v>#REF!</v>
      </c>
      <c r="P215" s="23" t="e">
        <f t="shared" si="7"/>
        <v>#REF!</v>
      </c>
    </row>
    <row r="216" spans="2:16" ht="15" customHeight="1" outlineLevel="1">
      <c r="B216" s="644"/>
      <c r="C216" s="14" t="e">
        <f>C203</f>
        <v>#REF!</v>
      </c>
      <c r="D216" s="28" t="e">
        <f t="shared" si="6"/>
        <v>#REF!</v>
      </c>
      <c r="E216" s="27" t="e">
        <f t="shared" si="6"/>
        <v>#REF!</v>
      </c>
      <c r="F216" s="27" t="e">
        <f t="shared" si="6"/>
        <v>#REF!</v>
      </c>
      <c r="G216" s="27" t="e">
        <f t="shared" si="6"/>
        <v>#REF!</v>
      </c>
      <c r="H216" s="26" t="e">
        <f t="shared" si="6"/>
        <v>#REF!</v>
      </c>
      <c r="J216" s="644"/>
      <c r="K216" s="14" t="e">
        <f>C216</f>
        <v>#REF!</v>
      </c>
      <c r="L216" s="25" t="e">
        <f t="shared" si="7"/>
        <v>#REF!</v>
      </c>
      <c r="M216" s="24" t="e">
        <f t="shared" si="7"/>
        <v>#REF!</v>
      </c>
      <c r="N216" s="24" t="e">
        <f t="shared" si="7"/>
        <v>#REF!</v>
      </c>
      <c r="O216" s="24" t="e">
        <f t="shared" si="7"/>
        <v>#REF!</v>
      </c>
      <c r="P216" s="23" t="e">
        <f t="shared" si="7"/>
        <v>#REF!</v>
      </c>
    </row>
    <row r="217" spans="2:16" ht="15" customHeight="1" outlineLevel="1">
      <c r="B217" s="644"/>
      <c r="C217" s="14" t="e">
        <f>C204</f>
        <v>#REF!</v>
      </c>
      <c r="D217" s="22" t="e">
        <f t="shared" si="6"/>
        <v>#REF!</v>
      </c>
      <c r="E217" s="21" t="e">
        <f t="shared" si="6"/>
        <v>#REF!</v>
      </c>
      <c r="F217" s="21" t="e">
        <f t="shared" si="6"/>
        <v>#REF!</v>
      </c>
      <c r="G217" s="21" t="e">
        <f t="shared" si="6"/>
        <v>#REF!</v>
      </c>
      <c r="H217" s="20" t="e">
        <f t="shared" si="6"/>
        <v>#REF!</v>
      </c>
      <c r="J217" s="644"/>
      <c r="K217" s="14" t="e">
        <f>C217</f>
        <v>#REF!</v>
      </c>
      <c r="L217" s="19" t="e">
        <f t="shared" si="7"/>
        <v>#REF!</v>
      </c>
      <c r="M217" s="18" t="e">
        <f t="shared" si="7"/>
        <v>#REF!</v>
      </c>
      <c r="N217" s="18" t="e">
        <f t="shared" si="7"/>
        <v>#REF!</v>
      </c>
      <c r="O217" s="18" t="e">
        <f t="shared" si="7"/>
        <v>#REF!</v>
      </c>
      <c r="P217" s="17" t="e">
        <f t="shared" si="7"/>
        <v>#REF!</v>
      </c>
    </row>
    <row r="218" spans="2:16" ht="15" customHeight="1" outlineLevel="1">
      <c r="B218" s="15"/>
      <c r="C218" s="14"/>
      <c r="D218" s="16"/>
      <c r="E218" s="16"/>
      <c r="F218" s="16"/>
      <c r="G218" s="16"/>
      <c r="H218" s="16"/>
      <c r="I218" s="11"/>
      <c r="J218" s="15"/>
      <c r="K218" s="14"/>
      <c r="L218" s="13"/>
      <c r="M218" s="13"/>
      <c r="N218" s="13"/>
      <c r="O218" s="13"/>
      <c r="P218" s="13"/>
    </row>
    <row r="219" spans="2:16" ht="15" customHeight="1" outlineLevel="1">
      <c r="B219" s="15"/>
      <c r="C219" s="14"/>
      <c r="D219" s="16"/>
      <c r="E219" s="16"/>
      <c r="F219" s="16"/>
      <c r="G219" s="16"/>
      <c r="H219" s="16"/>
      <c r="I219" s="11"/>
      <c r="J219" s="15"/>
      <c r="K219" s="14"/>
      <c r="L219" s="13"/>
      <c r="M219" s="13"/>
      <c r="N219" s="13"/>
      <c r="O219" s="13"/>
      <c r="P219" s="12" t="s">
        <v>5</v>
      </c>
    </row>
    <row r="220" spans="2:16" ht="15" customHeight="1" outlineLevel="1">
      <c r="B220" s="11"/>
      <c r="C220" s="11"/>
      <c r="D220" s="10"/>
      <c r="E220" s="10"/>
      <c r="F220" s="10"/>
      <c r="G220" s="10"/>
      <c r="H220" s="10"/>
    </row>
    <row r="221" spans="2:16" ht="15" customHeight="1" outlineLevel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 t="s">
        <v>0</v>
      </c>
    </row>
  </sheetData>
  <mergeCells count="9">
    <mergeCell ref="B99:B103"/>
    <mergeCell ref="B213:B217"/>
    <mergeCell ref="B156:B160"/>
    <mergeCell ref="B169:B173"/>
    <mergeCell ref="J156:J160"/>
    <mergeCell ref="J169:J173"/>
    <mergeCell ref="B200:B204"/>
    <mergeCell ref="J200:J204"/>
    <mergeCell ref="J213:J217"/>
  </mergeCells>
  <printOptions horizontalCentered="1"/>
  <pageMargins left="0.118110236220472" right="0.118110236220472" top="0.118110236220472" bottom="0.118110236220472" header="0.118110236220472" footer="0.118110236220472"/>
  <pageSetup scale="88" orientation="landscape" r:id="rId1"/>
  <headerFooter scaleWithDoc="0" alignWithMargins="0"/>
  <rowBreaks count="1" manualBreakCount="1">
    <brk id="178" min="1" max="17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 sizeWithCells="1">
                  <from>
                    <xdr:col>5</xdr:col>
                    <xdr:colOff>0</xdr:colOff>
                    <xdr:row>137</xdr:row>
                    <xdr:rowOff>0</xdr:rowOff>
                  </from>
                  <to>
                    <xdr:col>6</xdr:col>
                    <xdr:colOff>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Drop Down 2">
              <controlPr defaultSize="0" autoLine="0" autoPict="0">
                <anchor moveWithCells="1" sizeWithCells="1">
                  <from>
                    <xdr:col>5</xdr:col>
                    <xdr:colOff>0</xdr:colOff>
                    <xdr:row>181</xdr:row>
                    <xdr:rowOff>0</xdr:rowOff>
                  </from>
                  <to>
                    <xdr:col>6</xdr:col>
                    <xdr:colOff>0</xdr:colOff>
                    <xdr:row>182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autoLine="0" autoPict="0">
                <anchor moveWithCells="1" sizeWithCells="1">
                  <from>
                    <xdr:col>3</xdr:col>
                    <xdr:colOff>825500</xdr:colOff>
                    <xdr:row>4</xdr:row>
                    <xdr:rowOff>165100</xdr:rowOff>
                  </from>
                  <to>
                    <xdr:col>5</xdr:col>
                    <xdr:colOff>215900</xdr:colOff>
                    <xdr:row>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Drop Down 10">
              <controlPr defaultSize="0" autoLine="0" autoPict="0">
                <anchor moveWithCells="1" sizeWithCells="1">
                  <from>
                    <xdr:col>3</xdr:col>
                    <xdr:colOff>139700</xdr:colOff>
                    <xdr:row>34</xdr:row>
                    <xdr:rowOff>0</xdr:rowOff>
                  </from>
                  <to>
                    <xdr:col>5</xdr:col>
                    <xdr:colOff>635000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7756-A2B2-46A9-ADDA-1F6595EF7C7E}">
  <sheetPr>
    <pageSetUpPr autoPageBreaks="0"/>
  </sheetPr>
  <dimension ref="A1:AA157"/>
  <sheetViews>
    <sheetView showGridLines="0" zoomScaleNormal="100" zoomScaleSheetLayoutView="100" workbookViewId="0">
      <pane ySplit="1" topLeftCell="A128" activePane="bottomLeft" state="frozen"/>
      <selection pane="bottomLeft" activeCell="F151" sqref="F151"/>
    </sheetView>
  </sheetViews>
  <sheetFormatPr baseColWidth="10" defaultColWidth="9.1640625" defaultRowHeight="15" customHeight="1" outlineLevelRow="1"/>
  <cols>
    <col min="1" max="1" width="8.6640625" style="8" customWidth="1"/>
    <col min="2" max="2" width="12.83203125" style="8" customWidth="1"/>
    <col min="3" max="5" width="11.83203125" style="8" customWidth="1"/>
    <col min="6" max="24" width="10.33203125" style="8" customWidth="1"/>
    <col min="25" max="16384" width="9.1640625" style="8"/>
  </cols>
  <sheetData>
    <row r="1" spans="1:16" s="293" customFormat="1" ht="50" customHeight="1">
      <c r="A1" s="291"/>
      <c r="B1" s="352" t="s">
        <v>152</v>
      </c>
      <c r="C1" s="291"/>
      <c r="D1" s="291"/>
      <c r="E1" s="292"/>
      <c r="F1" s="292"/>
      <c r="G1" s="294"/>
      <c r="H1" s="294"/>
      <c r="I1" s="292"/>
      <c r="J1" s="292"/>
      <c r="K1" s="292"/>
      <c r="L1" s="292"/>
      <c r="M1" s="291"/>
    </row>
    <row r="2" spans="1:16" ht="15" customHeight="1">
      <c r="A2" s="115"/>
      <c r="B2" s="115"/>
      <c r="C2" s="127"/>
      <c r="D2" s="127"/>
      <c r="E2" s="127"/>
      <c r="F2" s="127"/>
      <c r="G2" s="118"/>
      <c r="H2" s="126"/>
      <c r="I2" s="126"/>
      <c r="J2" s="126"/>
      <c r="K2" s="126"/>
      <c r="L2" s="126"/>
      <c r="M2" s="125"/>
    </row>
    <row r="3" spans="1:16" ht="15" customHeight="1">
      <c r="A3" s="115" t="s">
        <v>0</v>
      </c>
      <c r="B3" s="108" t="s">
        <v>254</v>
      </c>
      <c r="C3" s="107"/>
      <c r="D3" s="107"/>
      <c r="E3" s="107"/>
      <c r="F3" s="106"/>
      <c r="G3" s="105"/>
      <c r="H3" s="105"/>
      <c r="I3" s="105"/>
      <c r="J3" s="105"/>
      <c r="K3" s="105"/>
      <c r="L3" s="105"/>
      <c r="M3" s="102"/>
    </row>
    <row r="4" spans="1:16" ht="15" customHeight="1" outlineLevel="1">
      <c r="A4" s="115"/>
      <c r="B4" s="115"/>
      <c r="C4" s="127"/>
      <c r="D4" s="127"/>
      <c r="E4" s="127"/>
      <c r="F4" s="127"/>
      <c r="G4" s="118"/>
      <c r="H4" s="126"/>
      <c r="I4" s="126"/>
      <c r="J4" s="126"/>
      <c r="K4" s="126"/>
      <c r="L4" s="126"/>
      <c r="M4" s="125"/>
    </row>
    <row r="5" spans="1:16" ht="15" customHeight="1" outlineLevel="1">
      <c r="A5" s="115"/>
      <c r="B5" s="142" t="s">
        <v>125</v>
      </c>
      <c r="C5" s="9"/>
      <c r="D5" s="9"/>
      <c r="E5" s="9"/>
      <c r="F5" s="140"/>
      <c r="H5" s="366" t="s">
        <v>35</v>
      </c>
      <c r="I5" s="367"/>
      <c r="J5" s="367"/>
      <c r="K5" s="367"/>
      <c r="L5" s="368"/>
      <c r="M5" s="125"/>
    </row>
    <row r="6" spans="1:16" ht="15" customHeight="1" outlineLevel="1">
      <c r="A6" s="115"/>
      <c r="B6" s="139"/>
      <c r="C6" s="139"/>
      <c r="D6" s="139"/>
      <c r="E6" s="139"/>
      <c r="F6" s="139"/>
      <c r="G6" s="66"/>
      <c r="M6" s="125"/>
      <c r="P6" s="295"/>
    </row>
    <row r="7" spans="1:16" ht="15" customHeight="1" outlineLevel="1">
      <c r="A7" s="115"/>
      <c r="B7" s="132" t="s">
        <v>104</v>
      </c>
      <c r="D7" s="64"/>
      <c r="E7" s="64"/>
      <c r="F7" s="300" t="s">
        <v>105</v>
      </c>
      <c r="G7" s="66"/>
      <c r="H7" s="132" t="s">
        <v>146</v>
      </c>
      <c r="L7" s="355">
        <v>50</v>
      </c>
      <c r="M7" s="125"/>
      <c r="P7"/>
    </row>
    <row r="8" spans="1:16" ht="15" customHeight="1" outlineLevel="1">
      <c r="A8" s="115"/>
      <c r="B8" s="132" t="s">
        <v>106</v>
      </c>
      <c r="F8" s="300">
        <v>2027</v>
      </c>
      <c r="H8" s="132" t="s">
        <v>137</v>
      </c>
      <c r="L8" s="360">
        <v>7</v>
      </c>
      <c r="M8" s="125"/>
      <c r="P8" s="296"/>
    </row>
    <row r="9" spans="1:16" ht="15" customHeight="1" outlineLevel="1">
      <c r="A9" s="115"/>
      <c r="B9" s="150" t="s">
        <v>107</v>
      </c>
      <c r="F9" s="300">
        <v>2.5</v>
      </c>
      <c r="H9" s="132" t="s">
        <v>147</v>
      </c>
      <c r="L9" s="355">
        <v>100</v>
      </c>
      <c r="M9" s="125"/>
      <c r="P9"/>
    </row>
    <row r="10" spans="1:16" ht="15" customHeight="1" outlineLevel="1">
      <c r="A10" s="115"/>
      <c r="B10" s="150" t="s">
        <v>108</v>
      </c>
      <c r="F10" s="300">
        <v>5</v>
      </c>
      <c r="H10" s="132" t="s">
        <v>149</v>
      </c>
      <c r="L10" s="361">
        <v>1.5</v>
      </c>
      <c r="M10" s="125"/>
      <c r="P10" s="296"/>
    </row>
    <row r="11" spans="1:16" ht="15" customHeight="1" outlineLevel="1">
      <c r="A11" s="115"/>
      <c r="B11" s="150" t="s">
        <v>126</v>
      </c>
      <c r="C11" s="127"/>
      <c r="D11" s="127"/>
      <c r="E11" s="297"/>
      <c r="F11" s="299"/>
      <c r="G11" s="298"/>
      <c r="H11" s="132" t="s">
        <v>158</v>
      </c>
      <c r="L11" s="361">
        <v>0.31</v>
      </c>
      <c r="M11" s="125"/>
      <c r="P11"/>
    </row>
    <row r="12" spans="1:16" ht="15" customHeight="1" outlineLevel="1">
      <c r="A12" s="115"/>
      <c r="B12" s="115"/>
      <c r="C12" s="127"/>
      <c r="D12" s="127"/>
      <c r="E12" s="297"/>
      <c r="F12" s="299"/>
      <c r="G12" s="298"/>
      <c r="H12" s="132" t="s">
        <v>266</v>
      </c>
      <c r="L12" s="359">
        <v>385</v>
      </c>
      <c r="M12" s="125"/>
      <c r="P12" s="295"/>
    </row>
    <row r="13" spans="1:16" ht="15" customHeight="1" outlineLevel="1">
      <c r="A13" s="115"/>
      <c r="B13" s="142" t="s">
        <v>91</v>
      </c>
      <c r="C13" s="141"/>
      <c r="D13" s="9"/>
      <c r="E13" s="141"/>
      <c r="F13" s="140"/>
      <c r="G13" s="298"/>
      <c r="H13" s="132" t="s">
        <v>271</v>
      </c>
      <c r="I13" s="362"/>
      <c r="J13" s="362"/>
      <c r="K13" s="362"/>
      <c r="L13" s="359">
        <v>130</v>
      </c>
      <c r="M13" s="125"/>
      <c r="P13" s="296"/>
    </row>
    <row r="14" spans="1:16" ht="15" customHeight="1" outlineLevel="1">
      <c r="A14" s="115"/>
      <c r="B14" s="139"/>
      <c r="C14" s="139"/>
      <c r="D14" s="139"/>
      <c r="E14" s="139"/>
      <c r="F14" s="139"/>
      <c r="G14" s="118"/>
      <c r="H14" s="132" t="s">
        <v>184</v>
      </c>
      <c r="I14" s="362"/>
      <c r="J14" s="362"/>
      <c r="K14" s="362"/>
      <c r="L14" s="359">
        <v>95</v>
      </c>
      <c r="M14" s="125"/>
      <c r="P14"/>
    </row>
    <row r="15" spans="1:16" ht="15" customHeight="1" outlineLevel="1">
      <c r="A15" s="115"/>
      <c r="B15" s="132" t="s">
        <v>128</v>
      </c>
      <c r="F15" s="320">
        <v>800</v>
      </c>
      <c r="G15" s="118"/>
      <c r="H15" s="132" t="s">
        <v>161</v>
      </c>
      <c r="I15" s="362"/>
      <c r="J15" s="362"/>
      <c r="K15" s="362"/>
      <c r="L15" s="363">
        <v>1500</v>
      </c>
      <c r="M15" s="125"/>
      <c r="P15" s="296"/>
    </row>
    <row r="16" spans="1:16" ht="15" customHeight="1" outlineLevel="1">
      <c r="A16" s="115"/>
      <c r="B16" s="132" t="s">
        <v>198</v>
      </c>
      <c r="C16" s="127"/>
      <c r="D16" s="127"/>
      <c r="E16" s="127"/>
      <c r="F16" s="522">
        <v>0.20599999999999999</v>
      </c>
      <c r="G16" s="118"/>
      <c r="H16" s="132" t="s">
        <v>164</v>
      </c>
      <c r="I16" s="362"/>
      <c r="J16" s="362"/>
      <c r="K16" s="362"/>
      <c r="L16" s="364">
        <v>750</v>
      </c>
      <c r="M16" s="125"/>
      <c r="P16"/>
    </row>
    <row r="17" spans="1:16" ht="15" customHeight="1" outlineLevel="1">
      <c r="A17" s="115"/>
      <c r="B17" s="132"/>
      <c r="D17" s="66"/>
      <c r="F17" s="321"/>
      <c r="G17" s="118"/>
      <c r="H17" s="132" t="s">
        <v>165</v>
      </c>
      <c r="I17" s="362"/>
      <c r="J17" s="362"/>
      <c r="K17" s="362"/>
      <c r="L17" s="364">
        <v>750</v>
      </c>
      <c r="M17" s="125"/>
      <c r="P17"/>
    </row>
    <row r="18" spans="1:16" ht="15" customHeight="1" outlineLevel="1">
      <c r="A18" s="115"/>
      <c r="B18" s="132"/>
      <c r="F18" s="321"/>
      <c r="G18" s="118"/>
      <c r="H18" s="132" t="s">
        <v>162</v>
      </c>
      <c r="L18" s="365">
        <v>0.4</v>
      </c>
      <c r="M18" s="125"/>
      <c r="P18"/>
    </row>
    <row r="19" spans="1:16" ht="15" customHeight="1" outlineLevel="1">
      <c r="A19" s="115"/>
      <c r="B19" s="132"/>
      <c r="C19" s="127"/>
      <c r="D19" s="127"/>
      <c r="E19" s="127"/>
      <c r="F19" s="127"/>
      <c r="G19" s="118"/>
      <c r="H19" s="132" t="s">
        <v>183</v>
      </c>
      <c r="L19" s="359">
        <v>49</v>
      </c>
      <c r="M19" s="125"/>
      <c r="P19"/>
    </row>
    <row r="20" spans="1:16" ht="15" customHeight="1" outlineLevel="1">
      <c r="A20" s="115"/>
      <c r="G20" s="118"/>
      <c r="H20" s="132" t="s">
        <v>159</v>
      </c>
      <c r="I20" s="362"/>
      <c r="J20" s="362"/>
      <c r="K20" s="362"/>
      <c r="L20" s="359">
        <v>75000</v>
      </c>
      <c r="M20" s="125"/>
      <c r="P20"/>
    </row>
    <row r="21" spans="1:16" ht="15" customHeight="1" outlineLevel="1">
      <c r="A21" s="115"/>
      <c r="B21" s="115"/>
      <c r="C21" s="127"/>
      <c r="D21" s="127"/>
      <c r="E21" s="127"/>
      <c r="F21" s="127"/>
      <c r="G21" s="118"/>
      <c r="H21" s="132" t="s">
        <v>171</v>
      </c>
      <c r="I21" s="362"/>
      <c r="J21" s="362"/>
      <c r="K21" s="362"/>
      <c r="L21" s="331">
        <v>3.5000000000000003E-2</v>
      </c>
      <c r="M21" s="125"/>
      <c r="P21"/>
    </row>
    <row r="22" spans="1:16" ht="15" customHeight="1" outlineLevel="1">
      <c r="A22" s="115"/>
      <c r="B22" s="115"/>
      <c r="C22" s="127"/>
      <c r="D22" s="127"/>
      <c r="E22" s="127"/>
      <c r="F22" s="127"/>
      <c r="G22" s="118"/>
      <c r="H22" s="132" t="s">
        <v>172</v>
      </c>
      <c r="I22" s="362"/>
      <c r="J22" s="362"/>
      <c r="K22" s="362"/>
      <c r="L22" s="331">
        <v>0.02</v>
      </c>
      <c r="M22" s="125"/>
      <c r="P22"/>
    </row>
    <row r="23" spans="1:16" ht="15" customHeight="1" outlineLevel="1">
      <c r="A23" s="115"/>
      <c r="B23" s="115"/>
      <c r="C23" s="127"/>
      <c r="D23" s="127"/>
      <c r="E23" s="127"/>
      <c r="F23" s="127"/>
      <c r="G23" s="118"/>
      <c r="M23" s="125"/>
      <c r="P23"/>
    </row>
    <row r="24" spans="1:16" ht="15" customHeight="1" outlineLevel="1">
      <c r="A24" s="115"/>
      <c r="B24" s="115"/>
      <c r="C24" s="127"/>
      <c r="D24" s="127"/>
      <c r="E24" s="127"/>
      <c r="F24" s="127"/>
      <c r="G24" s="118"/>
      <c r="L24" s="319" t="s">
        <v>160</v>
      </c>
      <c r="M24" s="125"/>
      <c r="P24" s="296"/>
    </row>
    <row r="25" spans="1:16" ht="15" customHeight="1" outlineLevel="1">
      <c r="A25" s="115"/>
      <c r="B25" s="115"/>
      <c r="C25" s="127"/>
      <c r="D25" s="127"/>
      <c r="E25" s="127"/>
      <c r="F25" s="127"/>
      <c r="G25" s="118"/>
      <c r="L25" s="319" t="s">
        <v>270</v>
      </c>
      <c r="M25" s="125"/>
      <c r="P25"/>
    </row>
    <row r="26" spans="1:16" ht="15" customHeight="1" outlineLevel="1">
      <c r="A26" s="115"/>
      <c r="B26" s="115"/>
      <c r="C26" s="127"/>
      <c r="D26" s="127"/>
      <c r="E26" s="127"/>
      <c r="F26" s="127"/>
      <c r="G26" s="118"/>
      <c r="L26" s="319" t="s">
        <v>267</v>
      </c>
      <c r="M26" s="125"/>
      <c r="P26"/>
    </row>
    <row r="27" spans="1:16" ht="15" customHeight="1" outlineLevel="1">
      <c r="A27" s="115"/>
      <c r="B27" s="115"/>
      <c r="C27" s="127"/>
      <c r="D27" s="127"/>
      <c r="E27" s="127"/>
      <c r="F27" s="127"/>
      <c r="G27" s="118"/>
      <c r="L27" s="319" t="s">
        <v>272</v>
      </c>
      <c r="M27" s="125"/>
      <c r="P27"/>
    </row>
    <row r="28" spans="1:16" ht="15" customHeight="1" outlineLevel="1">
      <c r="A28" s="115"/>
      <c r="B28" s="130"/>
      <c r="C28" s="130"/>
      <c r="D28" s="130"/>
      <c r="E28" s="130"/>
      <c r="F28" s="130"/>
      <c r="G28" s="130"/>
      <c r="H28" s="129"/>
      <c r="I28" s="129"/>
      <c r="J28" s="129"/>
      <c r="K28" s="129"/>
      <c r="L28" s="129"/>
      <c r="M28" s="125"/>
      <c r="P28"/>
    </row>
    <row r="29" spans="1:16" ht="15" customHeight="1">
      <c r="A29" s="115"/>
      <c r="B29" s="115"/>
      <c r="C29" s="127"/>
      <c r="D29" s="127"/>
      <c r="E29" s="127"/>
      <c r="F29" s="127"/>
      <c r="G29" s="118"/>
      <c r="H29" s="126"/>
      <c r="I29" s="126"/>
      <c r="J29" s="126"/>
      <c r="K29" s="126"/>
      <c r="L29" s="126"/>
      <c r="M29" s="125"/>
      <c r="P29"/>
    </row>
    <row r="30" spans="1:16" ht="15" customHeight="1">
      <c r="A30" s="115"/>
      <c r="B30" s="108" t="s">
        <v>201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25"/>
      <c r="P30"/>
    </row>
    <row r="31" spans="1:16" ht="15" customHeight="1" outlineLevel="1">
      <c r="A31" s="116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25"/>
      <c r="P31"/>
    </row>
    <row r="32" spans="1:16" ht="15" customHeight="1" outlineLevel="1">
      <c r="A32" s="116"/>
      <c r="B32" s="86" t="s">
        <v>134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25"/>
      <c r="P32"/>
    </row>
    <row r="33" spans="1:16" ht="15" customHeight="1" outlineLevel="1">
      <c r="A33" s="115"/>
      <c r="B33" s="115"/>
      <c r="C33" s="127"/>
      <c r="D33" s="127"/>
      <c r="E33" s="127"/>
      <c r="F33" s="127"/>
      <c r="G33" s="118"/>
      <c r="H33" s="126"/>
      <c r="I33" s="126"/>
      <c r="J33" s="126"/>
      <c r="K33" s="126"/>
      <c r="L33" s="126"/>
      <c r="M33" s="125"/>
      <c r="P33"/>
    </row>
    <row r="34" spans="1:16" ht="15" customHeight="1" outlineLevel="1">
      <c r="A34" s="115"/>
      <c r="B34" s="421" t="s">
        <v>204</v>
      </c>
      <c r="C34" s="121"/>
      <c r="D34" s="121"/>
      <c r="E34" s="436" t="s">
        <v>123</v>
      </c>
      <c r="F34" s="436" t="s">
        <v>203</v>
      </c>
      <c r="H34" s="366" t="s">
        <v>202</v>
      </c>
      <c r="I34" s="366"/>
      <c r="J34" s="366"/>
      <c r="K34" s="436" t="s">
        <v>123</v>
      </c>
      <c r="L34" s="436" t="s">
        <v>203</v>
      </c>
      <c r="M34" s="125"/>
      <c r="P34"/>
    </row>
    <row r="35" spans="1:16" ht="15" customHeight="1" outlineLevel="1">
      <c r="A35" s="115"/>
      <c r="B35" s="413" t="s">
        <v>207</v>
      </c>
      <c r="C35" s="412"/>
      <c r="D35" s="412"/>
      <c r="E35" s="427"/>
      <c r="F35" s="359">
        <v>5500</v>
      </c>
      <c r="H35" s="413" t="s">
        <v>206</v>
      </c>
      <c r="I35" s="422"/>
      <c r="J35" s="405"/>
      <c r="K35" s="437">
        <v>0.6</v>
      </c>
      <c r="L35" s="359">
        <f>K35*L40</f>
        <v>3300</v>
      </c>
      <c r="M35" s="125"/>
      <c r="P35"/>
    </row>
    <row r="36" spans="1:16" ht="15" customHeight="1" outlineLevel="1">
      <c r="A36" s="115"/>
      <c r="B36" s="423" t="s">
        <v>210</v>
      </c>
      <c r="C36" s="412"/>
      <c r="D36" s="412"/>
      <c r="E36" s="412"/>
      <c r="F36" s="425"/>
      <c r="H36" s="413" t="s">
        <v>9</v>
      </c>
      <c r="I36" s="414"/>
      <c r="J36" s="412"/>
      <c r="K36" s="354">
        <v>0.4</v>
      </c>
      <c r="L36" s="359">
        <f>K36*L40</f>
        <v>2200</v>
      </c>
      <c r="M36" s="125"/>
      <c r="P36"/>
    </row>
    <row r="37" spans="1:16" ht="15" customHeight="1" outlineLevel="1">
      <c r="A37" s="115"/>
      <c r="B37" s="424" t="s">
        <v>208</v>
      </c>
      <c r="C37" s="412"/>
      <c r="D37" s="412"/>
      <c r="E37" s="354">
        <f>F37/F35</f>
        <v>0.54545454545454541</v>
      </c>
      <c r="F37" s="359">
        <v>3000</v>
      </c>
      <c r="H37" s="413"/>
      <c r="I37" s="414"/>
      <c r="J37" s="416"/>
      <c r="K37" s="415"/>
      <c r="L37" s="126"/>
      <c r="M37" s="125"/>
      <c r="P37"/>
    </row>
    <row r="38" spans="1:16" ht="15" customHeight="1" outlineLevel="1">
      <c r="A38" s="115"/>
      <c r="B38" s="471" t="s">
        <v>209</v>
      </c>
      <c r="C38" s="412"/>
      <c r="D38" s="412"/>
      <c r="E38" s="365">
        <f>F38/F35</f>
        <v>0.45454545454545453</v>
      </c>
      <c r="F38" s="359">
        <v>2500</v>
      </c>
      <c r="H38" s="403"/>
      <c r="I38" s="422"/>
      <c r="J38" s="405"/>
      <c r="K38" s="402"/>
      <c r="L38" s="362"/>
      <c r="M38" s="125"/>
      <c r="P38"/>
    </row>
    <row r="39" spans="1:16" ht="15" customHeight="1" outlineLevel="1">
      <c r="A39" s="115"/>
      <c r="B39" s="431"/>
      <c r="C39" s="428"/>
      <c r="D39" s="428"/>
      <c r="E39" s="429"/>
      <c r="F39" s="430"/>
      <c r="H39" s="431"/>
      <c r="I39" s="432"/>
      <c r="J39" s="433"/>
      <c r="K39" s="434"/>
      <c r="L39" s="435"/>
      <c r="M39" s="125"/>
      <c r="P39"/>
    </row>
    <row r="40" spans="1:16" ht="15" customHeight="1" outlineLevel="1">
      <c r="A40" s="115"/>
      <c r="B40" s="78" t="s">
        <v>211</v>
      </c>
      <c r="C40" s="412"/>
      <c r="D40" s="412"/>
      <c r="E40" s="427">
        <v>1</v>
      </c>
      <c r="F40" s="426">
        <f>F35+F39</f>
        <v>5500</v>
      </c>
      <c r="H40" s="417" t="s">
        <v>205</v>
      </c>
      <c r="I40" s="417"/>
      <c r="J40" s="408"/>
      <c r="K40" s="438">
        <f>K35+K36</f>
        <v>1</v>
      </c>
      <c r="L40" s="426">
        <f>F40</f>
        <v>5500</v>
      </c>
      <c r="M40" s="125"/>
      <c r="P40"/>
    </row>
    <row r="41" spans="1:16" ht="15" customHeight="1" outlineLevel="1">
      <c r="A41" s="439"/>
      <c r="B41" s="130"/>
      <c r="C41" s="130"/>
      <c r="D41" s="130"/>
      <c r="E41" s="130"/>
      <c r="F41" s="130"/>
      <c r="G41" s="130"/>
      <c r="H41" s="129"/>
      <c r="I41" s="129"/>
      <c r="J41" s="129"/>
      <c r="K41" s="129"/>
      <c r="L41" s="129"/>
      <c r="M41" s="125"/>
      <c r="P41"/>
    </row>
    <row r="42" spans="1:16" ht="15" customHeight="1">
      <c r="A42" s="439"/>
      <c r="B42" s="418"/>
      <c r="C42" s="412"/>
      <c r="D42" s="412"/>
      <c r="E42" s="440"/>
      <c r="F42" s="419"/>
      <c r="H42" s="413"/>
      <c r="I42" s="417"/>
      <c r="J42" s="408"/>
      <c r="K42" s="420"/>
      <c r="L42" s="126"/>
      <c r="M42" s="125"/>
      <c r="P42"/>
    </row>
    <row r="43" spans="1:16" ht="15" customHeight="1">
      <c r="A43" s="439"/>
      <c r="B43" s="108" t="s">
        <v>31</v>
      </c>
      <c r="C43" s="107"/>
      <c r="D43" s="107"/>
      <c r="E43" s="107"/>
      <c r="F43" s="106"/>
      <c r="G43" s="105"/>
      <c r="H43" s="105"/>
      <c r="I43" s="105"/>
      <c r="J43" s="105"/>
      <c r="K43" s="105"/>
      <c r="L43" s="105"/>
      <c r="M43" s="125"/>
      <c r="P43"/>
    </row>
    <row r="44" spans="1:16" ht="15" customHeight="1" outlineLevel="1">
      <c r="A44" s="439"/>
      <c r="B44" s="192"/>
      <c r="C44" s="104"/>
      <c r="D44" s="104"/>
      <c r="E44" s="104"/>
      <c r="F44" s="103"/>
      <c r="G44" s="102"/>
      <c r="H44" s="102"/>
      <c r="I44" s="102"/>
      <c r="J44" s="102"/>
      <c r="K44" s="102"/>
      <c r="L44" s="102"/>
      <c r="M44" s="125"/>
      <c r="P44"/>
    </row>
    <row r="45" spans="1:16" ht="15" customHeight="1" outlineLevel="1">
      <c r="A45" s="439"/>
      <c r="B45" s="86" t="s">
        <v>134</v>
      </c>
      <c r="C45" s="104"/>
      <c r="D45" s="104"/>
      <c r="E45" s="104"/>
      <c r="F45" s="96"/>
      <c r="G45" s="96"/>
      <c r="H45" s="96"/>
      <c r="I45" s="100"/>
      <c r="J45" s="100"/>
      <c r="K45" s="100"/>
      <c r="L45" s="100"/>
      <c r="M45" s="125"/>
      <c r="P45"/>
    </row>
    <row r="46" spans="1:16" ht="15" customHeight="1" outlineLevel="1">
      <c r="A46" s="439"/>
      <c r="C46" s="104"/>
      <c r="D46" s="104"/>
      <c r="E46" s="104"/>
      <c r="F46" s="96"/>
      <c r="G46" s="124"/>
      <c r="H46" s="124"/>
      <c r="I46" s="123"/>
      <c r="J46" s="123"/>
      <c r="K46" s="123"/>
      <c r="L46" s="123"/>
      <c r="M46" s="125"/>
      <c r="P46"/>
    </row>
    <row r="47" spans="1:16" ht="15" customHeight="1" outlineLevel="1">
      <c r="A47" s="439"/>
      <c r="B47" s="191"/>
      <c r="C47" s="190"/>
      <c r="D47" s="190"/>
      <c r="E47" s="190"/>
      <c r="F47" s="189"/>
      <c r="G47" s="188"/>
      <c r="H47" s="186" t="s">
        <v>55</v>
      </c>
      <c r="I47" s="187" t="s">
        <v>62</v>
      </c>
      <c r="J47" s="187" t="s">
        <v>62</v>
      </c>
      <c r="K47" s="186" t="s">
        <v>61</v>
      </c>
      <c r="L47" s="185" t="s">
        <v>60</v>
      </c>
      <c r="M47" s="125"/>
      <c r="P47"/>
    </row>
    <row r="48" spans="1:16" ht="15" customHeight="1" outlineLevel="1" thickBot="1">
      <c r="A48" s="439"/>
      <c r="B48" s="78" t="s">
        <v>262</v>
      </c>
      <c r="C48" s="78"/>
      <c r="D48" s="184" t="s">
        <v>59</v>
      </c>
      <c r="E48" s="78"/>
      <c r="F48" s="183" t="s">
        <v>58</v>
      </c>
      <c r="G48" s="183" t="s">
        <v>19</v>
      </c>
      <c r="H48" s="181" t="s">
        <v>41</v>
      </c>
      <c r="I48" s="182" t="s">
        <v>19</v>
      </c>
      <c r="J48" s="182" t="s">
        <v>57</v>
      </c>
      <c r="K48" s="181" t="s">
        <v>247</v>
      </c>
      <c r="L48" s="181" t="s">
        <v>247</v>
      </c>
      <c r="M48" s="125"/>
      <c r="P48"/>
    </row>
    <row r="49" spans="1:16" ht="15" customHeight="1" outlineLevel="1">
      <c r="A49" s="439"/>
      <c r="B49" s="180"/>
      <c r="C49" s="180"/>
      <c r="D49" s="180"/>
      <c r="E49" s="180"/>
      <c r="F49" s="176"/>
      <c r="G49" s="176"/>
      <c r="H49" s="179"/>
      <c r="I49" s="178"/>
      <c r="J49" s="178"/>
      <c r="K49" s="177"/>
      <c r="L49" s="176"/>
      <c r="M49" s="125"/>
      <c r="P49"/>
    </row>
    <row r="50" spans="1:16" ht="15" customHeight="1" outlineLevel="1">
      <c r="A50" s="439"/>
      <c r="B50" s="175" t="s">
        <v>243</v>
      </c>
      <c r="C50" s="119"/>
      <c r="D50" s="516" t="s">
        <v>56</v>
      </c>
      <c r="E50" s="174"/>
      <c r="F50" s="163">
        <v>1200</v>
      </c>
      <c r="G50" s="163">
        <v>5000</v>
      </c>
      <c r="H50" s="173">
        <v>0.20499999999999999</v>
      </c>
      <c r="I50" s="172">
        <f>F50/G50</f>
        <v>0.24</v>
      </c>
      <c r="J50" s="172">
        <f>F50/(F50+G50)</f>
        <v>0.19354838709677419</v>
      </c>
      <c r="K50" s="171">
        <v>1.1499999999999999</v>
      </c>
      <c r="L50" s="160">
        <f>K50/(1+(1-H50)*I50)</f>
        <v>0.96573731944910968</v>
      </c>
      <c r="M50" s="125"/>
      <c r="P50"/>
    </row>
    <row r="51" spans="1:16" ht="15" customHeight="1" outlineLevel="1">
      <c r="A51" s="439"/>
      <c r="B51" s="175" t="s">
        <v>244</v>
      </c>
      <c r="C51" s="119"/>
      <c r="D51" s="516" t="s">
        <v>56</v>
      </c>
      <c r="E51" s="174"/>
      <c r="F51" s="163">
        <v>800</v>
      </c>
      <c r="G51" s="163">
        <v>2300</v>
      </c>
      <c r="H51" s="173">
        <v>0.182</v>
      </c>
      <c r="I51" s="172">
        <f>F51/G51</f>
        <v>0.34782608695652173</v>
      </c>
      <c r="J51" s="172">
        <f>F51/(F51+G51)</f>
        <v>0.25806451612903225</v>
      </c>
      <c r="K51" s="171">
        <v>1.42</v>
      </c>
      <c r="L51" s="160">
        <f>K51/(1+(1-H51)*I51)</f>
        <v>1.1054698077443812</v>
      </c>
      <c r="M51" s="125"/>
      <c r="P51"/>
    </row>
    <row r="52" spans="1:16" ht="15" customHeight="1" outlineLevel="1">
      <c r="A52" s="439"/>
      <c r="B52" s="175" t="s">
        <v>245</v>
      </c>
      <c r="C52" s="119"/>
      <c r="D52" s="516" t="s">
        <v>56</v>
      </c>
      <c r="E52" s="174"/>
      <c r="F52" s="163">
        <v>2100</v>
      </c>
      <c r="G52" s="163">
        <v>3400</v>
      </c>
      <c r="H52" s="173">
        <v>0.28100000000000003</v>
      </c>
      <c r="I52" s="172">
        <f>F52/G52</f>
        <v>0.61764705882352944</v>
      </c>
      <c r="J52" s="172">
        <f>F52/(F52+G52)</f>
        <v>0.38181818181818183</v>
      </c>
      <c r="K52" s="171">
        <v>1.28</v>
      </c>
      <c r="L52" s="160">
        <f>K52/(1+(1-H52)*I52)</f>
        <v>0.88637243121041154</v>
      </c>
      <c r="M52" s="125"/>
      <c r="P52"/>
    </row>
    <row r="53" spans="1:16" ht="15" customHeight="1" outlineLevel="1">
      <c r="A53" s="439"/>
      <c r="B53" s="175" t="s">
        <v>246</v>
      </c>
      <c r="C53" s="119"/>
      <c r="D53" s="516" t="s">
        <v>56</v>
      </c>
      <c r="E53" s="174"/>
      <c r="F53" s="163">
        <v>4500</v>
      </c>
      <c r="G53" s="163">
        <v>6800</v>
      </c>
      <c r="H53" s="173">
        <v>0.253</v>
      </c>
      <c r="I53" s="172">
        <f>F53/G53</f>
        <v>0.66176470588235292</v>
      </c>
      <c r="J53" s="172">
        <f>F53/(F53+G53)</f>
        <v>0.39823008849557523</v>
      </c>
      <c r="K53" s="171">
        <v>1.55</v>
      </c>
      <c r="L53" s="160">
        <f>K53/(1+(1-H53)*I53)</f>
        <v>1.0372484377306499</v>
      </c>
      <c r="M53" s="125"/>
      <c r="P53"/>
    </row>
    <row r="54" spans="1:16" ht="15" customHeight="1" outlineLevel="1">
      <c r="A54" s="439"/>
      <c r="B54" s="170"/>
      <c r="C54" s="170"/>
      <c r="D54" s="169"/>
      <c r="E54" s="169"/>
      <c r="F54" s="168"/>
      <c r="G54" s="168"/>
      <c r="H54" s="167"/>
      <c r="I54" s="166"/>
      <c r="J54" s="166"/>
      <c r="K54" s="165"/>
      <c r="L54" s="155"/>
      <c r="M54" s="125"/>
      <c r="P54"/>
    </row>
    <row r="55" spans="1:16" ht="15" customHeight="1" outlineLevel="1">
      <c r="A55" s="439"/>
      <c r="C55" s="164"/>
      <c r="D55" s="68"/>
      <c r="E55" s="68"/>
      <c r="F55" s="163"/>
      <c r="G55" s="163"/>
      <c r="H55" s="146"/>
      <c r="I55" s="162"/>
      <c r="J55" s="162"/>
      <c r="K55" s="161"/>
      <c r="L55" s="160"/>
      <c r="M55" s="125"/>
      <c r="P55"/>
    </row>
    <row r="56" spans="1:16" ht="15" customHeight="1" outlineLevel="1">
      <c r="A56" s="439"/>
      <c r="B56" s="86"/>
      <c r="C56" s="104"/>
      <c r="D56" s="104"/>
      <c r="E56" s="104"/>
      <c r="F56" s="96"/>
      <c r="G56" s="159" t="s">
        <v>55</v>
      </c>
      <c r="H56" s="158">
        <f>AVERAGE(H50:H54)</f>
        <v>0.23025000000000001</v>
      </c>
      <c r="I56" s="157">
        <f>AVERAGE(I50:I54)</f>
        <v>0.46680946291560099</v>
      </c>
      <c r="J56" s="157">
        <f>AVERAGE(J50:J54)</f>
        <v>0.30791529338489088</v>
      </c>
      <c r="K56" s="156">
        <f>AVERAGE(K50:K54)</f>
        <v>1.3499999999999999</v>
      </c>
      <c r="L56" s="156">
        <f>AVERAGE(L50:L54)</f>
        <v>0.99870699903363802</v>
      </c>
      <c r="M56" s="125"/>
      <c r="P56"/>
    </row>
    <row r="57" spans="1:16" ht="15" customHeight="1" outlineLevel="1">
      <c r="A57" s="439"/>
      <c r="B57" s="68"/>
      <c r="C57" s="104"/>
      <c r="D57" s="104"/>
      <c r="E57" s="104"/>
      <c r="F57" s="154"/>
      <c r="G57" s="153"/>
      <c r="H57" s="153"/>
      <c r="I57" s="152"/>
      <c r="J57" s="152"/>
      <c r="K57" s="152"/>
      <c r="L57" s="152"/>
      <c r="M57" s="125"/>
      <c r="P57"/>
    </row>
    <row r="58" spans="1:16" ht="15" customHeight="1" outlineLevel="1">
      <c r="A58" s="439"/>
      <c r="B58" s="142" t="s">
        <v>54</v>
      </c>
      <c r="C58" s="9"/>
      <c r="D58" s="9"/>
      <c r="E58" s="9"/>
      <c r="F58" s="140"/>
      <c r="H58" s="142" t="s">
        <v>48</v>
      </c>
      <c r="I58" s="141"/>
      <c r="J58" s="9"/>
      <c r="K58" s="141"/>
      <c r="L58" s="140"/>
      <c r="M58" s="125"/>
      <c r="P58"/>
    </row>
    <row r="59" spans="1:16" ht="15" customHeight="1" outlineLevel="1">
      <c r="A59" s="439"/>
      <c r="B59" s="139"/>
      <c r="C59" s="139"/>
      <c r="D59" s="139"/>
      <c r="E59" s="139"/>
      <c r="F59" s="139"/>
      <c r="G59" s="66"/>
      <c r="H59" s="139"/>
      <c r="I59" s="139"/>
      <c r="J59" s="139"/>
      <c r="K59" s="139"/>
      <c r="L59" s="139"/>
      <c r="M59" s="125"/>
      <c r="P59"/>
    </row>
    <row r="60" spans="1:16" ht="15" customHeight="1" outlineLevel="1">
      <c r="A60" s="439"/>
      <c r="B60" s="132" t="s">
        <v>53</v>
      </c>
      <c r="D60" s="64"/>
      <c r="E60" s="64"/>
      <c r="F60" s="146">
        <v>5.5E-2</v>
      </c>
      <c r="G60" s="66"/>
      <c r="H60" s="132" t="s">
        <v>52</v>
      </c>
      <c r="L60" s="146">
        <v>2.8000000000000001E-2</v>
      </c>
      <c r="M60" s="125"/>
      <c r="P60"/>
    </row>
    <row r="61" spans="1:16" ht="15" customHeight="1" outlineLevel="1">
      <c r="A61" s="439"/>
      <c r="B61" s="132" t="s">
        <v>51</v>
      </c>
      <c r="F61" s="151">
        <f>$L$56</f>
        <v>0.99870699903363802</v>
      </c>
      <c r="H61" s="132" t="s">
        <v>49</v>
      </c>
      <c r="J61" s="66"/>
      <c r="L61" s="136">
        <f>F63</f>
        <v>0.12034918691854854</v>
      </c>
      <c r="M61" s="125"/>
      <c r="P61"/>
    </row>
    <row r="62" spans="1:16" ht="15" customHeight="1" outlineLevel="1">
      <c r="A62" s="439"/>
      <c r="B62" s="150" t="s">
        <v>248</v>
      </c>
      <c r="F62" s="149">
        <f>F61*(1+(1-L68)*F72)</f>
        <v>2.1881670348827007</v>
      </c>
      <c r="H62" s="132" t="s">
        <v>50</v>
      </c>
      <c r="L62" s="517">
        <v>0</v>
      </c>
      <c r="M62" s="125"/>
      <c r="P62"/>
    </row>
    <row r="63" spans="1:16" ht="15" customHeight="1" outlineLevel="1">
      <c r="A63" s="439"/>
      <c r="B63" s="132" t="s">
        <v>49</v>
      </c>
      <c r="F63" s="136">
        <f>F60*F62</f>
        <v>0.12034918691854854</v>
      </c>
      <c r="H63" s="132" t="s">
        <v>48</v>
      </c>
      <c r="J63" s="66"/>
      <c r="L63" s="136">
        <f>SUM(L60:L62)</f>
        <v>0.14834918691854854</v>
      </c>
      <c r="M63" s="125"/>
      <c r="P63"/>
    </row>
    <row r="64" spans="1:16" ht="15" customHeight="1" outlineLevel="1">
      <c r="A64" s="439"/>
      <c r="B64" s="66"/>
      <c r="C64" s="66"/>
      <c r="D64" s="66"/>
      <c r="E64" s="66"/>
      <c r="F64" s="66"/>
      <c r="G64" s="66"/>
      <c r="H64" s="66"/>
      <c r="I64" s="148"/>
      <c r="J64" s="66"/>
      <c r="K64" s="148"/>
      <c r="L64" s="148"/>
      <c r="M64" s="125"/>
      <c r="P64"/>
    </row>
    <row r="65" spans="1:16" ht="15" customHeight="1" outlineLevel="1">
      <c r="A65" s="439"/>
      <c r="B65" s="142" t="s">
        <v>47</v>
      </c>
      <c r="C65" s="9"/>
      <c r="D65" s="9"/>
      <c r="E65" s="147"/>
      <c r="F65" s="147"/>
      <c r="H65" s="142" t="s">
        <v>46</v>
      </c>
      <c r="I65" s="9"/>
      <c r="J65" s="9"/>
      <c r="K65" s="9"/>
      <c r="L65" s="140"/>
      <c r="M65" s="125"/>
      <c r="P65"/>
    </row>
    <row r="66" spans="1:16" ht="15" customHeight="1" outlineLevel="1">
      <c r="A66" s="439"/>
      <c r="C66" s="139"/>
      <c r="D66" s="139"/>
      <c r="E66" s="139"/>
      <c r="F66" s="139"/>
      <c r="H66" s="139"/>
      <c r="I66" s="139"/>
      <c r="J66" s="139"/>
      <c r="K66" s="139"/>
      <c r="L66" s="139"/>
      <c r="M66" s="125"/>
      <c r="P66"/>
    </row>
    <row r="67" spans="1:16" ht="15" customHeight="1" outlineLevel="1" thickBot="1">
      <c r="A67" s="439"/>
      <c r="B67" s="86"/>
      <c r="E67" s="138" t="s">
        <v>45</v>
      </c>
      <c r="F67" s="138" t="s">
        <v>44</v>
      </c>
      <c r="H67" s="132" t="s">
        <v>43</v>
      </c>
      <c r="I67" s="66"/>
      <c r="K67" s="66"/>
      <c r="L67" s="146">
        <v>0.05</v>
      </c>
      <c r="M67" s="125"/>
      <c r="P67"/>
    </row>
    <row r="68" spans="1:16" ht="15" customHeight="1" outlineLevel="1">
      <c r="A68" s="439"/>
      <c r="B68" s="132" t="s">
        <v>42</v>
      </c>
      <c r="C68" s="66"/>
      <c r="D68" s="519">
        <f>$L$35</f>
        <v>3300</v>
      </c>
      <c r="E68" s="520">
        <f>K35</f>
        <v>0.6</v>
      </c>
      <c r="F68" s="520">
        <f>K35</f>
        <v>0.6</v>
      </c>
      <c r="H68" s="132" t="s">
        <v>41</v>
      </c>
      <c r="L68" s="517">
        <f>$F$16</f>
        <v>0.20599999999999999</v>
      </c>
      <c r="M68" s="125"/>
      <c r="P68"/>
    </row>
    <row r="69" spans="1:16" ht="15" customHeight="1" outlineLevel="1">
      <c r="A69" s="439"/>
      <c r="B69" s="132" t="s">
        <v>40</v>
      </c>
      <c r="D69" s="521">
        <f>$L$36</f>
        <v>2200</v>
      </c>
      <c r="E69" s="517">
        <f>1-E68</f>
        <v>0.4</v>
      </c>
      <c r="F69" s="517">
        <f>1-F68</f>
        <v>0.4</v>
      </c>
      <c r="H69" s="132" t="s">
        <v>39</v>
      </c>
      <c r="L69" s="136">
        <f>L67*(1-L68)</f>
        <v>3.9700000000000006E-2</v>
      </c>
      <c r="M69" s="125"/>
      <c r="P69"/>
    </row>
    <row r="70" spans="1:16" ht="15" customHeight="1" outlineLevel="1">
      <c r="A70" s="439"/>
      <c r="B70" s="132" t="s">
        <v>38</v>
      </c>
      <c r="D70" s="145">
        <f>SUM(D68:D69)</f>
        <v>5500</v>
      </c>
      <c r="E70" s="136">
        <f>SUM(E68:E69)</f>
        <v>1</v>
      </c>
      <c r="F70" s="136">
        <f>SUM(F68:F69)</f>
        <v>1</v>
      </c>
      <c r="M70" s="125"/>
      <c r="P70"/>
    </row>
    <row r="71" spans="1:16" ht="15" customHeight="1" outlineLevel="1">
      <c r="A71" s="439"/>
      <c r="F71" s="96"/>
      <c r="M71" s="125"/>
      <c r="P71"/>
    </row>
    <row r="72" spans="1:16" ht="15" customHeight="1" outlineLevel="1">
      <c r="A72" s="439"/>
      <c r="B72" s="144" t="s">
        <v>37</v>
      </c>
      <c r="C72" s="143"/>
      <c r="D72" s="143"/>
      <c r="E72" s="518">
        <f>E68/E69</f>
        <v>1.4999999999999998</v>
      </c>
      <c r="F72" s="518">
        <f>F68/F69</f>
        <v>1.4999999999999998</v>
      </c>
      <c r="H72" s="142" t="s">
        <v>31</v>
      </c>
      <c r="I72" s="141"/>
      <c r="J72" s="9"/>
      <c r="K72" s="140"/>
      <c r="L72" s="9"/>
      <c r="M72" s="125"/>
      <c r="P72"/>
    </row>
    <row r="73" spans="1:16" ht="15" customHeight="1" outlineLevel="1">
      <c r="A73" s="439"/>
      <c r="B73" s="78"/>
      <c r="G73" s="104"/>
      <c r="H73" s="139"/>
      <c r="I73" s="139"/>
      <c r="J73" s="139"/>
      <c r="K73" s="139"/>
      <c r="L73" s="139"/>
      <c r="M73" s="125"/>
      <c r="P73"/>
    </row>
    <row r="74" spans="1:16" ht="15" customHeight="1" outlineLevel="1" thickBot="1">
      <c r="A74" s="439"/>
      <c r="B74" s="135" t="s">
        <v>249</v>
      </c>
      <c r="G74" s="104"/>
      <c r="H74" s="66"/>
      <c r="I74" s="66"/>
      <c r="J74" s="66"/>
      <c r="K74" s="138" t="s">
        <v>36</v>
      </c>
      <c r="L74" s="138" t="s">
        <v>35</v>
      </c>
      <c r="M74" s="125"/>
      <c r="P74"/>
    </row>
    <row r="75" spans="1:16" ht="15" customHeight="1" outlineLevel="1">
      <c r="A75" s="439"/>
      <c r="B75" s="135" t="s">
        <v>250</v>
      </c>
      <c r="C75" s="66"/>
      <c r="D75" s="137"/>
      <c r="E75" s="137"/>
      <c r="F75" s="137"/>
      <c r="H75" s="132" t="s">
        <v>34</v>
      </c>
      <c r="J75" s="66"/>
      <c r="K75" s="136">
        <f>F68</f>
        <v>0.6</v>
      </c>
      <c r="L75" s="136">
        <f>L69</f>
        <v>3.9700000000000006E-2</v>
      </c>
      <c r="M75" s="125"/>
      <c r="P75"/>
    </row>
    <row r="76" spans="1:16" ht="15" customHeight="1" outlineLevel="1">
      <c r="A76" s="439"/>
      <c r="B76" s="135" t="s">
        <v>251</v>
      </c>
      <c r="C76" s="66"/>
      <c r="D76" s="137"/>
      <c r="E76" s="137"/>
      <c r="F76" s="137"/>
      <c r="H76" s="132" t="s">
        <v>33</v>
      </c>
      <c r="K76" s="136">
        <f>F69</f>
        <v>0.4</v>
      </c>
      <c r="L76" s="136">
        <f>L63</f>
        <v>0.14834918691854854</v>
      </c>
      <c r="M76" s="125"/>
      <c r="P76"/>
    </row>
    <row r="77" spans="1:16" ht="15" customHeight="1" outlineLevel="1">
      <c r="A77" s="439"/>
      <c r="B77" s="135" t="s">
        <v>32</v>
      </c>
      <c r="M77" s="125"/>
      <c r="P77"/>
    </row>
    <row r="78" spans="1:16" ht="15" customHeight="1" outlineLevel="1">
      <c r="A78" s="439"/>
      <c r="B78" s="135" t="s">
        <v>252</v>
      </c>
      <c r="H78" s="66"/>
      <c r="I78" s="66"/>
      <c r="J78" s="66"/>
      <c r="K78" s="66"/>
      <c r="L78" s="134"/>
      <c r="M78" s="125"/>
      <c r="P78"/>
    </row>
    <row r="79" spans="1:16" ht="15" customHeight="1" outlineLevel="1" thickBot="1">
      <c r="A79" s="439"/>
      <c r="B79" s="135" t="s">
        <v>253</v>
      </c>
      <c r="C79" s="66"/>
      <c r="D79" s="66"/>
      <c r="E79" s="66"/>
      <c r="F79" s="66"/>
      <c r="G79" s="66"/>
      <c r="H79" s="132" t="s">
        <v>31</v>
      </c>
      <c r="K79" s="66"/>
      <c r="L79" s="131">
        <f>SUMPRODUCT(K75:K76,L75:L76)</f>
        <v>8.3159674767419423E-2</v>
      </c>
      <c r="M79" s="125"/>
      <c r="P79"/>
    </row>
    <row r="80" spans="1:16" ht="15" customHeight="1" outlineLevel="1">
      <c r="A80" s="439"/>
      <c r="B80" s="130"/>
      <c r="C80" s="130"/>
      <c r="D80" s="130"/>
      <c r="E80" s="130"/>
      <c r="F80" s="130"/>
      <c r="G80" s="130"/>
      <c r="H80" s="129"/>
      <c r="I80" s="129"/>
      <c r="J80" s="129"/>
      <c r="K80" s="129"/>
      <c r="L80" s="129"/>
      <c r="M80" s="125"/>
      <c r="P80"/>
    </row>
    <row r="81" spans="1:27" ht="15" customHeight="1">
      <c r="A81" s="439"/>
      <c r="B81" s="418"/>
      <c r="C81" s="412"/>
      <c r="D81" s="412"/>
      <c r="E81" s="440"/>
      <c r="F81" s="419"/>
      <c r="H81" s="413"/>
      <c r="I81" s="417"/>
      <c r="J81" s="408"/>
      <c r="K81" s="420"/>
      <c r="L81" s="126"/>
      <c r="M81" s="125"/>
      <c r="P81"/>
    </row>
    <row r="82" spans="1:27" ht="15" customHeight="1">
      <c r="A82" s="115" t="s">
        <v>0</v>
      </c>
      <c r="B82" s="108" t="s">
        <v>196</v>
      </c>
      <c r="C82" s="107"/>
      <c r="D82" s="107"/>
      <c r="E82" s="107"/>
      <c r="F82" s="106"/>
      <c r="G82" s="105"/>
      <c r="H82" s="105"/>
      <c r="I82" s="105"/>
      <c r="J82" s="105"/>
      <c r="K82" s="105"/>
      <c r="L82" s="105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</row>
    <row r="83" spans="1:27" ht="15" customHeight="1" outlineLevel="1">
      <c r="A83" s="115"/>
      <c r="B83" s="192"/>
      <c r="C83" s="104"/>
      <c r="D83" s="103"/>
      <c r="E83" s="103"/>
      <c r="F83" s="102"/>
      <c r="G83" s="102"/>
      <c r="H83" s="102"/>
      <c r="I83" s="102"/>
      <c r="J83" s="102"/>
      <c r="K83" s="102"/>
      <c r="L83" s="102"/>
      <c r="M83" s="102"/>
      <c r="P83"/>
    </row>
    <row r="84" spans="1:27" ht="15" customHeight="1" outlineLevel="1" thickBot="1">
      <c r="A84" s="115"/>
      <c r="B84" s="86" t="s">
        <v>134</v>
      </c>
      <c r="C84" s="104"/>
      <c r="D84" s="96"/>
      <c r="E84" s="96"/>
      <c r="F84" s="383">
        <v>2025</v>
      </c>
      <c r="G84" s="217">
        <f>F84+1</f>
        <v>2026</v>
      </c>
      <c r="H84" s="217">
        <f t="shared" ref="H84:AA84" si="0">G84+1</f>
        <v>2027</v>
      </c>
      <c r="I84" s="217">
        <f t="shared" si="0"/>
        <v>2028</v>
      </c>
      <c r="J84" s="217">
        <f t="shared" si="0"/>
        <v>2029</v>
      </c>
      <c r="K84" s="217">
        <f t="shared" si="0"/>
        <v>2030</v>
      </c>
      <c r="L84" s="217">
        <f t="shared" si="0"/>
        <v>2031</v>
      </c>
      <c r="M84" s="217">
        <f t="shared" si="0"/>
        <v>2032</v>
      </c>
      <c r="N84" s="217">
        <f t="shared" si="0"/>
        <v>2033</v>
      </c>
      <c r="O84" s="217">
        <f t="shared" si="0"/>
        <v>2034</v>
      </c>
      <c r="P84" s="217">
        <f t="shared" si="0"/>
        <v>2035</v>
      </c>
      <c r="Q84" s="217">
        <f t="shared" si="0"/>
        <v>2036</v>
      </c>
      <c r="R84" s="217">
        <f t="shared" si="0"/>
        <v>2037</v>
      </c>
      <c r="S84" s="217">
        <f t="shared" si="0"/>
        <v>2038</v>
      </c>
      <c r="T84" s="217">
        <f t="shared" si="0"/>
        <v>2039</v>
      </c>
      <c r="U84" s="217">
        <f t="shared" si="0"/>
        <v>2040</v>
      </c>
      <c r="V84" s="217">
        <f t="shared" si="0"/>
        <v>2041</v>
      </c>
      <c r="W84" s="217">
        <f t="shared" si="0"/>
        <v>2042</v>
      </c>
      <c r="X84" s="217">
        <f t="shared" si="0"/>
        <v>2043</v>
      </c>
      <c r="Y84" s="217">
        <f t="shared" si="0"/>
        <v>2044</v>
      </c>
      <c r="Z84" s="217">
        <f t="shared" si="0"/>
        <v>2045</v>
      </c>
      <c r="AA84" s="217">
        <f t="shared" si="0"/>
        <v>2046</v>
      </c>
    </row>
    <row r="85" spans="1:27" s="6" customFormat="1" ht="15" customHeight="1" outlineLevel="1">
      <c r="B85" s="78"/>
      <c r="D85" s="65"/>
      <c r="E85" s="65"/>
      <c r="F85" s="65"/>
      <c r="G85" s="65"/>
      <c r="H85" s="65"/>
      <c r="I85" s="215"/>
      <c r="J85" s="214"/>
      <c r="P85"/>
    </row>
    <row r="86" spans="1:27" s="6" customFormat="1" ht="15" customHeight="1" outlineLevel="1">
      <c r="B86" s="200" t="s">
        <v>68</v>
      </c>
      <c r="D86" s="216">
        <f>Outputs!$E$6</f>
        <v>2</v>
      </c>
      <c r="E86" s="65"/>
      <c r="F86" s="65"/>
      <c r="G86" s="65"/>
      <c r="H86" s="65"/>
      <c r="I86" s="215"/>
      <c r="J86" s="214"/>
      <c r="P86" s="295"/>
    </row>
    <row r="87" spans="1:27" s="6" customFormat="1" ht="15" customHeight="1" outlineLevel="1">
      <c r="C87" s="65"/>
      <c r="D87" s="65"/>
      <c r="E87" s="65"/>
      <c r="F87" s="65"/>
      <c r="G87" s="65"/>
      <c r="H87" s="215"/>
      <c r="I87" s="214"/>
      <c r="P87"/>
    </row>
    <row r="88" spans="1:27" s="6" customFormat="1" ht="15" customHeight="1" outlineLevel="1">
      <c r="B88" s="200" t="s">
        <v>67</v>
      </c>
      <c r="C88" s="202"/>
      <c r="D88" s="202"/>
      <c r="E88" s="202"/>
      <c r="F88" s="523">
        <v>0.02</v>
      </c>
      <c r="G88" s="524">
        <v>0.02</v>
      </c>
      <c r="H88" s="524">
        <v>0.02</v>
      </c>
      <c r="I88" s="524">
        <v>0.02</v>
      </c>
      <c r="J88" s="524">
        <v>0.02</v>
      </c>
      <c r="K88" s="524">
        <v>1.9E-2</v>
      </c>
      <c r="L88" s="524">
        <v>1.9E-2</v>
      </c>
      <c r="M88" s="524">
        <v>1.9E-2</v>
      </c>
      <c r="N88" s="524">
        <v>1.9E-2</v>
      </c>
      <c r="O88" s="524">
        <v>1.7999999999999999E-2</v>
      </c>
      <c r="P88" s="524">
        <v>1.7999999999999999E-2</v>
      </c>
      <c r="Q88" s="524">
        <v>1.7999999999999999E-2</v>
      </c>
      <c r="R88" s="524">
        <v>1.7000000000000001E-2</v>
      </c>
      <c r="S88" s="524">
        <v>1.6E-2</v>
      </c>
      <c r="T88" s="524">
        <v>1.6E-2</v>
      </c>
      <c r="U88" s="524">
        <v>1.6E-2</v>
      </c>
      <c r="V88" s="524">
        <v>1.6E-2</v>
      </c>
      <c r="W88" s="524">
        <v>1.6E-2</v>
      </c>
      <c r="X88" s="524">
        <v>1.6E-2</v>
      </c>
      <c r="Y88" s="524">
        <v>1.6E-2</v>
      </c>
      <c r="Z88" s="524">
        <v>1.6E-2</v>
      </c>
      <c r="AA88" s="524">
        <v>1.6E-2</v>
      </c>
    </row>
    <row r="89" spans="1:27" s="6" customFormat="1" ht="15" customHeight="1" outlineLevel="1">
      <c r="B89" s="200"/>
      <c r="C89" s="202"/>
      <c r="D89" s="202"/>
      <c r="E89" s="202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</row>
    <row r="90" spans="1:27" s="6" customFormat="1" ht="15" customHeight="1" outlineLevel="1">
      <c r="C90" s="65"/>
      <c r="D90" s="65"/>
      <c r="E90" s="65"/>
      <c r="F90" s="65"/>
      <c r="G90" s="65"/>
      <c r="H90" s="215"/>
      <c r="I90" s="214"/>
      <c r="P90"/>
    </row>
    <row r="91" spans="1:27" s="6" customFormat="1" ht="15" customHeight="1" outlineLevel="1">
      <c r="B91" s="200" t="s">
        <v>255</v>
      </c>
      <c r="C91" s="202"/>
      <c r="D91" s="530" t="s">
        <v>258</v>
      </c>
      <c r="E91" s="202"/>
      <c r="F91" s="525">
        <f>800*(1+0.02)^2</f>
        <v>832.31999999999994</v>
      </c>
      <c r="G91" s="526">
        <f>F91*(1+G88)</f>
        <v>848.96639999999991</v>
      </c>
      <c r="H91" s="526">
        <f t="shared" ref="H91:AA91" si="1">G91*(1+H88)</f>
        <v>865.94572799999992</v>
      </c>
      <c r="I91" s="526">
        <f t="shared" si="1"/>
        <v>883.26464255999997</v>
      </c>
      <c r="J91" s="526">
        <f t="shared" si="1"/>
        <v>900.92993541119995</v>
      </c>
      <c r="K91" s="526">
        <f t="shared" si="1"/>
        <v>918.0476041840127</v>
      </c>
      <c r="L91" s="526">
        <f t="shared" si="1"/>
        <v>935.49050866350888</v>
      </c>
      <c r="M91" s="526">
        <f t="shared" si="1"/>
        <v>953.26482832811541</v>
      </c>
      <c r="N91" s="526">
        <f t="shared" si="1"/>
        <v>971.37686006634954</v>
      </c>
      <c r="O91" s="526">
        <f t="shared" si="1"/>
        <v>988.86164354754385</v>
      </c>
      <c r="P91" s="526">
        <f t="shared" si="1"/>
        <v>1006.6611531313996</v>
      </c>
      <c r="Q91" s="526">
        <f t="shared" si="1"/>
        <v>1024.7810538877648</v>
      </c>
      <c r="R91" s="526">
        <f>Q91*(1+R88)</f>
        <v>1042.2023318038566</v>
      </c>
      <c r="S91" s="526">
        <f t="shared" si="1"/>
        <v>1058.8775691127184</v>
      </c>
      <c r="T91" s="526">
        <f t="shared" si="1"/>
        <v>1075.819610218522</v>
      </c>
      <c r="U91" s="526">
        <f t="shared" si="1"/>
        <v>1093.0327239820183</v>
      </c>
      <c r="V91" s="526">
        <f t="shared" si="1"/>
        <v>1110.5212475657306</v>
      </c>
      <c r="W91" s="526">
        <f t="shared" si="1"/>
        <v>1128.2895875267823</v>
      </c>
      <c r="X91" s="526">
        <f t="shared" si="1"/>
        <v>1146.3422209272107</v>
      </c>
      <c r="Y91" s="526">
        <f t="shared" si="1"/>
        <v>1164.6836964620461</v>
      </c>
      <c r="Z91" s="526">
        <f t="shared" si="1"/>
        <v>1183.3186356054389</v>
      </c>
      <c r="AA91" s="526">
        <f t="shared" si="1"/>
        <v>1202.251733775126</v>
      </c>
    </row>
    <row r="92" spans="1:27" s="6" customFormat="1" ht="15" customHeight="1" outlineLevel="1">
      <c r="B92" s="534" t="s">
        <v>340</v>
      </c>
      <c r="C92" s="202"/>
      <c r="D92" s="527"/>
      <c r="E92" s="202"/>
      <c r="F92" s="528"/>
      <c r="G92" s="528"/>
      <c r="H92" s="528"/>
      <c r="I92" s="528"/>
      <c r="J92" s="528"/>
      <c r="K92" s="528"/>
      <c r="L92" s="528"/>
      <c r="M92" s="528"/>
      <c r="N92" s="528"/>
      <c r="O92" s="528"/>
      <c r="P92" s="528"/>
      <c r="Q92" s="528"/>
      <c r="R92" s="528"/>
      <c r="S92" s="528"/>
      <c r="T92" s="528"/>
      <c r="U92" s="528"/>
      <c r="V92" s="528"/>
      <c r="W92" s="528"/>
      <c r="X92" s="528"/>
      <c r="Y92" s="528"/>
      <c r="Z92" s="528"/>
      <c r="AA92" s="528"/>
    </row>
    <row r="93" spans="1:27" s="6" customFormat="1" ht="15" customHeight="1" outlineLevel="1">
      <c r="B93" s="78"/>
      <c r="C93" s="202"/>
      <c r="D93" s="202"/>
      <c r="E93" s="202"/>
      <c r="F93" s="202"/>
      <c r="G93" s="202"/>
      <c r="H93" s="213"/>
      <c r="I93" s="212"/>
      <c r="J93" s="211"/>
      <c r="K93" s="211"/>
      <c r="L93" s="211"/>
      <c r="P93" s="296"/>
    </row>
    <row r="94" spans="1:27" s="6" customFormat="1" ht="15" customHeight="1" outlineLevel="1">
      <c r="B94" s="200" t="s">
        <v>256</v>
      </c>
      <c r="C94" s="202"/>
      <c r="D94" s="202"/>
      <c r="E94" s="202"/>
      <c r="F94" s="531" cm="1">
        <f t="array" ref="F94">INDEX(F96:F98,$D$86)</f>
        <v>0</v>
      </c>
      <c r="G94" s="532" cm="1">
        <f t="array" ref="G94">INDEX(G96:G98,$D$86)</f>
        <v>0</v>
      </c>
      <c r="H94" s="532" cm="1">
        <f t="array" ref="H94">INDEX(H96:H98,$D$86)</f>
        <v>0.25</v>
      </c>
      <c r="I94" s="532" cm="1">
        <f t="array" ref="I94">INDEX(I96:I98,$D$86)</f>
        <v>0.25</v>
      </c>
      <c r="J94" s="532" cm="1">
        <f t="array" ref="J94">INDEX(J96:J98,$D$86)</f>
        <v>0.25</v>
      </c>
      <c r="K94" s="532" cm="1">
        <f t="array" ref="K94">INDEX(K96:K98,$D$86)</f>
        <v>0.25</v>
      </c>
      <c r="L94" s="532" cm="1">
        <f t="array" ref="L94">INDEX(L96:L98,$D$86)</f>
        <v>0.25</v>
      </c>
      <c r="M94" s="532" cm="1">
        <f t="array" ref="M94">INDEX(M96:M98,$D$86)</f>
        <v>0.25</v>
      </c>
      <c r="N94" s="532" cm="1">
        <f t="array" ref="N94">INDEX(N96:N98,$D$86)</f>
        <v>0.25</v>
      </c>
      <c r="O94" s="532" cm="1">
        <f t="array" ref="O94">INDEX(O96:O98,$D$86)</f>
        <v>0.25</v>
      </c>
      <c r="P94" s="532" cm="1">
        <f t="array" ref="P94">INDEX(P96:P98,$D$86)</f>
        <v>0.25</v>
      </c>
      <c r="Q94" s="532" cm="1">
        <f t="array" ref="Q94">INDEX(Q96:Q98,$D$86)</f>
        <v>0.25</v>
      </c>
      <c r="R94" s="532" cm="1">
        <f t="array" ref="R94">INDEX(R96:R98,$D$86)</f>
        <v>0.25</v>
      </c>
      <c r="S94" s="532" cm="1">
        <f t="array" ref="S94">INDEX(S96:S98,$D$86)</f>
        <v>0.25</v>
      </c>
      <c r="T94" s="532" cm="1">
        <f t="array" ref="T94">INDEX(T96:T98,$D$86)</f>
        <v>0.25</v>
      </c>
      <c r="U94" s="532" cm="1">
        <f t="array" ref="U94">INDEX(U96:U98,$D$86)</f>
        <v>0.25</v>
      </c>
      <c r="V94" s="532" cm="1">
        <f t="array" ref="V94">INDEX(V96:V98,$D$86)</f>
        <v>0.25</v>
      </c>
      <c r="W94" s="532" cm="1">
        <f t="array" ref="W94">INDEX(W96:W98,$D$86)</f>
        <v>0.25</v>
      </c>
      <c r="X94" s="532" cm="1">
        <f t="array" ref="X94">INDEX(X96:X98,$D$86)</f>
        <v>0.25</v>
      </c>
      <c r="Y94" s="532" cm="1">
        <f t="array" ref="Y94">INDEX(Y96:Y98,$D$86)</f>
        <v>0.25</v>
      </c>
      <c r="Z94" s="532" cm="1">
        <f t="array" ref="Z94">INDEX(Z96:Z98,$D$86)</f>
        <v>0.25</v>
      </c>
      <c r="AA94" s="533" cm="1">
        <f t="array" ref="AA94">INDEX(AA96:AA98,$D$86)</f>
        <v>0.25</v>
      </c>
    </row>
    <row r="95" spans="1:27" s="6" customFormat="1" ht="15" customHeight="1" outlineLevel="1">
      <c r="B95" s="78"/>
      <c r="C95" s="202"/>
      <c r="D95" s="202"/>
      <c r="E95" s="202"/>
      <c r="F95" s="202"/>
      <c r="G95" s="202"/>
      <c r="H95" s="213"/>
      <c r="I95" s="212"/>
      <c r="J95" s="211"/>
      <c r="K95" s="211"/>
      <c r="L95" s="211"/>
      <c r="P95" s="296"/>
    </row>
    <row r="96" spans="1:27" s="6" customFormat="1" ht="15" customHeight="1" outlineLevel="1">
      <c r="B96" s="203" t="str">
        <f>Outputs!$D$146</f>
        <v>Best Case</v>
      </c>
      <c r="C96" s="65"/>
      <c r="D96" s="530" t="s">
        <v>123</v>
      </c>
      <c r="E96" s="65"/>
      <c r="F96" s="387">
        <v>0</v>
      </c>
      <c r="G96" s="388">
        <v>0</v>
      </c>
      <c r="H96" s="384">
        <v>0.3</v>
      </c>
      <c r="I96" s="384">
        <v>0.3</v>
      </c>
      <c r="J96" s="384">
        <v>0.3</v>
      </c>
      <c r="K96" s="384">
        <v>0.3</v>
      </c>
      <c r="L96" s="384">
        <v>0.3</v>
      </c>
      <c r="M96" s="384">
        <v>0.3</v>
      </c>
      <c r="N96" s="384">
        <v>0.3</v>
      </c>
      <c r="O96" s="384">
        <v>0.3</v>
      </c>
      <c r="P96" s="384">
        <v>0.3</v>
      </c>
      <c r="Q96" s="384">
        <v>0.3</v>
      </c>
      <c r="R96" s="384">
        <v>0.3</v>
      </c>
      <c r="S96" s="384">
        <v>0.3</v>
      </c>
      <c r="T96" s="384">
        <v>0.3</v>
      </c>
      <c r="U96" s="384">
        <v>0.3</v>
      </c>
      <c r="V96" s="384">
        <v>0.3</v>
      </c>
      <c r="W96" s="384">
        <v>0.3</v>
      </c>
      <c r="X96" s="384">
        <v>0.3</v>
      </c>
      <c r="Y96" s="384">
        <v>0.3</v>
      </c>
      <c r="Z96" s="384">
        <v>0.3</v>
      </c>
      <c r="AA96" s="384">
        <v>0.3</v>
      </c>
    </row>
    <row r="97" spans="2:27" s="6" customFormat="1" ht="15" customHeight="1" outlineLevel="1">
      <c r="B97" s="203" t="str">
        <f>Outputs!$D$147</f>
        <v>Base Case</v>
      </c>
      <c r="C97" s="65"/>
      <c r="D97" s="530" t="s">
        <v>123</v>
      </c>
      <c r="E97" s="65"/>
      <c r="F97" s="389">
        <v>0</v>
      </c>
      <c r="G97" s="390">
        <v>0</v>
      </c>
      <c r="H97" s="385">
        <v>0.25</v>
      </c>
      <c r="I97" s="385">
        <v>0.25</v>
      </c>
      <c r="J97" s="385">
        <v>0.25</v>
      </c>
      <c r="K97" s="385">
        <v>0.25</v>
      </c>
      <c r="L97" s="385">
        <v>0.25</v>
      </c>
      <c r="M97" s="385">
        <v>0.25</v>
      </c>
      <c r="N97" s="385">
        <v>0.25</v>
      </c>
      <c r="O97" s="385">
        <v>0.25</v>
      </c>
      <c r="P97" s="385">
        <v>0.25</v>
      </c>
      <c r="Q97" s="385">
        <v>0.25</v>
      </c>
      <c r="R97" s="385">
        <v>0.25</v>
      </c>
      <c r="S97" s="385">
        <v>0.25</v>
      </c>
      <c r="T97" s="385">
        <v>0.25</v>
      </c>
      <c r="U97" s="385">
        <v>0.25</v>
      </c>
      <c r="V97" s="385">
        <v>0.25</v>
      </c>
      <c r="W97" s="385">
        <v>0.25</v>
      </c>
      <c r="X97" s="385">
        <v>0.25</v>
      </c>
      <c r="Y97" s="385">
        <v>0.25</v>
      </c>
      <c r="Z97" s="385">
        <v>0.25</v>
      </c>
      <c r="AA97" s="385">
        <v>0.25</v>
      </c>
    </row>
    <row r="98" spans="2:27" s="6" customFormat="1" ht="15" customHeight="1" outlineLevel="1">
      <c r="B98" s="203" t="str">
        <f>Outputs!$D$148</f>
        <v>Worst Case</v>
      </c>
      <c r="C98" s="65"/>
      <c r="D98" s="530" t="s">
        <v>123</v>
      </c>
      <c r="E98" s="65"/>
      <c r="F98" s="391">
        <v>0</v>
      </c>
      <c r="G98" s="392">
        <v>0</v>
      </c>
      <c r="H98" s="386">
        <v>0.20399999999999999</v>
      </c>
      <c r="I98" s="386">
        <v>0.20399999999999999</v>
      </c>
      <c r="J98" s="386">
        <v>0.20399999999999999</v>
      </c>
      <c r="K98" s="386">
        <v>0.20399999999999999</v>
      </c>
      <c r="L98" s="386">
        <v>0.20399999999999999</v>
      </c>
      <c r="M98" s="386">
        <v>0.20399999999999999</v>
      </c>
      <c r="N98" s="386">
        <v>0.20399999999999999</v>
      </c>
      <c r="O98" s="386">
        <v>0.20399999999999999</v>
      </c>
      <c r="P98" s="386">
        <v>0.20399999999999999</v>
      </c>
      <c r="Q98" s="386">
        <v>0.20399999999999999</v>
      </c>
      <c r="R98" s="386">
        <v>0.20399999999999999</v>
      </c>
      <c r="S98" s="386">
        <v>0.20399999999999999</v>
      </c>
      <c r="T98" s="386">
        <v>0.20399999999999999</v>
      </c>
      <c r="U98" s="386">
        <v>0.20399999999999999</v>
      </c>
      <c r="V98" s="386">
        <v>0.20399999999999999</v>
      </c>
      <c r="W98" s="386">
        <v>0.20399999999999999</v>
      </c>
      <c r="X98" s="386">
        <v>0.20399999999999999</v>
      </c>
      <c r="Y98" s="386">
        <v>0.20399999999999999</v>
      </c>
      <c r="Z98" s="386">
        <v>0.20399999999999999</v>
      </c>
      <c r="AA98" s="386">
        <v>0.20399999999999999</v>
      </c>
    </row>
    <row r="99" spans="2:27" s="6" customFormat="1" ht="15" customHeight="1" outlineLevel="1">
      <c r="B99" s="203"/>
      <c r="C99" s="65"/>
      <c r="D99" s="65"/>
      <c r="E99" s="65"/>
      <c r="F99" s="529"/>
      <c r="G99" s="390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</row>
    <row r="100" spans="2:27" s="6" customFormat="1" ht="15" customHeight="1" outlineLevel="1">
      <c r="B100" s="78"/>
      <c r="C100" s="202"/>
      <c r="D100" s="202"/>
      <c r="E100" s="202"/>
      <c r="F100" s="202"/>
      <c r="G100" s="202"/>
      <c r="H100" s="213"/>
      <c r="I100" s="212"/>
      <c r="J100" s="211"/>
      <c r="K100" s="211"/>
      <c r="L100" s="211"/>
      <c r="P100" s="296"/>
    </row>
    <row r="101" spans="2:27" s="6" customFormat="1" ht="15" customHeight="1" outlineLevel="1">
      <c r="B101" s="200" t="s">
        <v>257</v>
      </c>
      <c r="C101" s="202"/>
      <c r="D101" s="202"/>
      <c r="E101" s="202"/>
      <c r="F101" s="531" cm="1">
        <f t="array" ref="F101">INDEX(F103:F105,$D$86)</f>
        <v>0</v>
      </c>
      <c r="G101" s="532" cm="1">
        <f t="array" ref="G101">INDEX(G103:G105,$D$86)</f>
        <v>0</v>
      </c>
      <c r="H101" s="532" cm="1">
        <f t="array" ref="H101">INDEX(H103:H105,$D$86)</f>
        <v>0.1</v>
      </c>
      <c r="I101" s="532" cm="1">
        <f t="array" ref="I101">INDEX(I103:I105,$D$86)</f>
        <v>0.1</v>
      </c>
      <c r="J101" s="532" cm="1">
        <f t="array" ref="J101">INDEX(J103:J105,$D$86)</f>
        <v>0.1</v>
      </c>
      <c r="K101" s="532" cm="1">
        <f t="array" ref="K101">INDEX(K103:K105,$D$86)</f>
        <v>0.1</v>
      </c>
      <c r="L101" s="532" cm="1">
        <f t="array" ref="L101">INDEX(L103:L105,$D$86)</f>
        <v>0.1</v>
      </c>
      <c r="M101" s="532" cm="1">
        <f t="array" ref="M101">INDEX(M103:M105,$D$86)</f>
        <v>0.1</v>
      </c>
      <c r="N101" s="532" cm="1">
        <f t="array" ref="N101">INDEX(N103:N105,$D$86)</f>
        <v>0.1</v>
      </c>
      <c r="O101" s="532" cm="1">
        <f t="array" ref="O101">INDEX(O103:O105,$D$86)</f>
        <v>0.1</v>
      </c>
      <c r="P101" s="532" cm="1">
        <f t="array" ref="P101">INDEX(P103:P105,$D$86)</f>
        <v>0.1</v>
      </c>
      <c r="Q101" s="532" cm="1">
        <f t="array" ref="Q101">INDEX(Q103:Q105,$D$86)</f>
        <v>0.1</v>
      </c>
      <c r="R101" s="532" cm="1">
        <f t="array" ref="R101">INDEX(R103:R105,$D$86)</f>
        <v>0.1</v>
      </c>
      <c r="S101" s="532" cm="1">
        <f t="array" ref="S101">INDEX(S103:S105,$D$86)</f>
        <v>0.1</v>
      </c>
      <c r="T101" s="532" cm="1">
        <f t="array" ref="T101">INDEX(T103:T105,$D$86)</f>
        <v>0.1</v>
      </c>
      <c r="U101" s="532" cm="1">
        <f t="array" ref="U101">INDEX(U103:U105,$D$86)</f>
        <v>0.1</v>
      </c>
      <c r="V101" s="532" cm="1">
        <f t="array" ref="V101">INDEX(V103:V105,$D$86)</f>
        <v>0.1</v>
      </c>
      <c r="W101" s="532" cm="1">
        <f t="array" ref="W101">INDEX(W103:W105,$D$86)</f>
        <v>0.1</v>
      </c>
      <c r="X101" s="532" cm="1">
        <f t="array" ref="X101">INDEX(X103:X105,$D$86)</f>
        <v>0.1</v>
      </c>
      <c r="Y101" s="532" cm="1">
        <f t="array" ref="Y101">INDEX(Y103:Y105,$D$86)</f>
        <v>0.1</v>
      </c>
      <c r="Z101" s="532" cm="1">
        <f t="array" ref="Z101">INDEX(Z103:Z105,$D$86)</f>
        <v>0.1</v>
      </c>
      <c r="AA101" s="533" cm="1">
        <f t="array" ref="AA101">INDEX(AA103:AA105,$D$86)</f>
        <v>0.1</v>
      </c>
    </row>
    <row r="102" spans="2:27" s="6" customFormat="1" ht="15" customHeight="1" outlineLevel="1">
      <c r="B102" s="78"/>
      <c r="C102" s="202"/>
      <c r="D102" s="202"/>
      <c r="E102" s="202"/>
      <c r="F102" s="202"/>
      <c r="G102" s="202"/>
      <c r="H102" s="213"/>
      <c r="I102" s="212"/>
      <c r="J102" s="211"/>
      <c r="K102" s="211"/>
      <c r="L102" s="211"/>
      <c r="P102" s="296"/>
    </row>
    <row r="103" spans="2:27" s="6" customFormat="1" ht="15" customHeight="1" outlineLevel="1">
      <c r="B103" s="203" t="str">
        <f>$B$96</f>
        <v>Best Case</v>
      </c>
      <c r="C103" s="65"/>
      <c r="D103" s="530" t="s">
        <v>123</v>
      </c>
      <c r="E103" s="65"/>
      <c r="F103" s="387">
        <v>0</v>
      </c>
      <c r="G103" s="388">
        <v>0</v>
      </c>
      <c r="H103" s="384">
        <v>0.125</v>
      </c>
      <c r="I103" s="384">
        <v>0.125</v>
      </c>
      <c r="J103" s="384">
        <v>0.125</v>
      </c>
      <c r="K103" s="384">
        <v>0.125</v>
      </c>
      <c r="L103" s="384">
        <v>0.125</v>
      </c>
      <c r="M103" s="384">
        <v>0.125</v>
      </c>
      <c r="N103" s="384">
        <v>0.125</v>
      </c>
      <c r="O103" s="384">
        <v>0.125</v>
      </c>
      <c r="P103" s="384">
        <v>0.125</v>
      </c>
      <c r="Q103" s="384">
        <v>0.125</v>
      </c>
      <c r="R103" s="384">
        <v>0.125</v>
      </c>
      <c r="S103" s="384">
        <v>0.125</v>
      </c>
      <c r="T103" s="384">
        <v>0.125</v>
      </c>
      <c r="U103" s="384">
        <v>0.125</v>
      </c>
      <c r="V103" s="384">
        <v>0.125</v>
      </c>
      <c r="W103" s="384">
        <v>0.125</v>
      </c>
      <c r="X103" s="384">
        <v>0.125</v>
      </c>
      <c r="Y103" s="384">
        <v>0.125</v>
      </c>
      <c r="Z103" s="384">
        <v>0.125</v>
      </c>
      <c r="AA103" s="384">
        <v>0.125</v>
      </c>
    </row>
    <row r="104" spans="2:27" s="6" customFormat="1" ht="15" customHeight="1" outlineLevel="1">
      <c r="B104" s="203" t="str">
        <f>$B$97</f>
        <v>Base Case</v>
      </c>
      <c r="C104" s="65"/>
      <c r="D104" s="530" t="s">
        <v>123</v>
      </c>
      <c r="E104" s="65"/>
      <c r="F104" s="389">
        <v>0</v>
      </c>
      <c r="G104" s="390">
        <v>0</v>
      </c>
      <c r="H104" s="385">
        <v>0.1</v>
      </c>
      <c r="I104" s="385">
        <v>0.1</v>
      </c>
      <c r="J104" s="385">
        <v>0.1</v>
      </c>
      <c r="K104" s="385">
        <v>0.1</v>
      </c>
      <c r="L104" s="385">
        <v>0.1</v>
      </c>
      <c r="M104" s="385">
        <v>0.1</v>
      </c>
      <c r="N104" s="385">
        <v>0.1</v>
      </c>
      <c r="O104" s="385">
        <v>0.1</v>
      </c>
      <c r="P104" s="385">
        <v>0.1</v>
      </c>
      <c r="Q104" s="385">
        <v>0.1</v>
      </c>
      <c r="R104" s="385">
        <v>0.1</v>
      </c>
      <c r="S104" s="385">
        <v>0.1</v>
      </c>
      <c r="T104" s="385">
        <v>0.1</v>
      </c>
      <c r="U104" s="385">
        <v>0.1</v>
      </c>
      <c r="V104" s="385">
        <v>0.1</v>
      </c>
      <c r="W104" s="385">
        <v>0.1</v>
      </c>
      <c r="X104" s="385">
        <v>0.1</v>
      </c>
      <c r="Y104" s="385">
        <v>0.1</v>
      </c>
      <c r="Z104" s="385">
        <v>0.1</v>
      </c>
      <c r="AA104" s="385">
        <v>0.1</v>
      </c>
    </row>
    <row r="105" spans="2:27" s="6" customFormat="1" ht="15" customHeight="1" outlineLevel="1">
      <c r="B105" s="203" t="str">
        <f>$B$98</f>
        <v>Worst Case</v>
      </c>
      <c r="C105" s="65"/>
      <c r="D105" s="530" t="s">
        <v>123</v>
      </c>
      <c r="E105" s="65"/>
      <c r="F105" s="391">
        <v>0</v>
      </c>
      <c r="G105" s="392">
        <v>0</v>
      </c>
      <c r="H105" s="386">
        <v>0.08</v>
      </c>
      <c r="I105" s="386">
        <v>0.08</v>
      </c>
      <c r="J105" s="386">
        <v>0.08</v>
      </c>
      <c r="K105" s="386">
        <v>0.08</v>
      </c>
      <c r="L105" s="386">
        <v>0.08</v>
      </c>
      <c r="M105" s="386">
        <v>0.08</v>
      </c>
      <c r="N105" s="386">
        <v>0.08</v>
      </c>
      <c r="O105" s="386">
        <v>0.08</v>
      </c>
      <c r="P105" s="386">
        <v>0.08</v>
      </c>
      <c r="Q105" s="386">
        <v>0.08</v>
      </c>
      <c r="R105" s="386">
        <v>0.08</v>
      </c>
      <c r="S105" s="386">
        <v>0.08</v>
      </c>
      <c r="T105" s="386">
        <v>0.08</v>
      </c>
      <c r="U105" s="386">
        <v>0.08</v>
      </c>
      <c r="V105" s="386">
        <v>0.08</v>
      </c>
      <c r="W105" s="386">
        <v>0.08</v>
      </c>
      <c r="X105" s="386">
        <v>0.08</v>
      </c>
      <c r="Y105" s="386">
        <v>0.08</v>
      </c>
      <c r="Z105" s="386">
        <v>0.08</v>
      </c>
      <c r="AA105" s="386">
        <v>0.08</v>
      </c>
    </row>
    <row r="106" spans="2:27" s="6" customFormat="1" ht="15" customHeight="1" outlineLevel="1">
      <c r="C106" s="65"/>
      <c r="D106" s="65"/>
      <c r="E106" s="65"/>
      <c r="F106" s="65"/>
      <c r="G106" s="65"/>
      <c r="H106" s="215"/>
      <c r="I106" s="214"/>
      <c r="P106"/>
    </row>
    <row r="107" spans="2:27" s="6" customFormat="1" ht="15" customHeight="1" outlineLevel="1">
      <c r="C107" s="65"/>
      <c r="D107" s="65"/>
      <c r="E107" s="65"/>
      <c r="F107" s="65"/>
      <c r="G107" s="65"/>
      <c r="H107" s="215"/>
      <c r="I107" s="214"/>
      <c r="P107"/>
    </row>
    <row r="108" spans="2:27" s="6" customFormat="1" ht="15" customHeight="1" outlineLevel="1">
      <c r="B108" s="200" t="s">
        <v>122</v>
      </c>
      <c r="C108" s="202"/>
      <c r="D108" s="202"/>
      <c r="E108" s="202"/>
      <c r="F108" s="531" cm="1">
        <f t="array" ref="F108">INDEX(F110:F112,$D$86)</f>
        <v>0</v>
      </c>
      <c r="G108" s="532" cm="1">
        <f t="array" ref="G108">INDEX(G110:G112,$D$86)</f>
        <v>0</v>
      </c>
      <c r="H108" s="532" cm="1">
        <f t="array" ref="H108">INDEX(H110:H112,$D$86)</f>
        <v>0.75</v>
      </c>
      <c r="I108" s="532" cm="1">
        <f t="array" ref="I108">INDEX(I110:I112,$D$86)</f>
        <v>0.75</v>
      </c>
      <c r="J108" s="532" cm="1">
        <f t="array" ref="J108">INDEX(J110:J112,$D$86)</f>
        <v>0.75</v>
      </c>
      <c r="K108" s="532" cm="1">
        <f t="array" ref="K108">INDEX(K110:K112,$D$86)</f>
        <v>0.75</v>
      </c>
      <c r="L108" s="532" cm="1">
        <f t="array" ref="L108">INDEX(L110:L112,$D$86)</f>
        <v>0.75</v>
      </c>
      <c r="M108" s="532" cm="1">
        <f t="array" ref="M108">INDEX(M110:M112,$D$86)</f>
        <v>0.75</v>
      </c>
      <c r="N108" s="532" cm="1">
        <f t="array" ref="N108">INDEX(N110:N112,$D$86)</f>
        <v>0.75</v>
      </c>
      <c r="O108" s="532" cm="1">
        <f t="array" ref="O108">INDEX(O110:O112,$D$86)</f>
        <v>0.75</v>
      </c>
      <c r="P108" s="532" cm="1">
        <f t="array" ref="P108">INDEX(P110:P112,$D$86)</f>
        <v>0.75</v>
      </c>
      <c r="Q108" s="532" cm="1">
        <f t="array" ref="Q108">INDEX(Q110:Q112,$D$86)</f>
        <v>0.75</v>
      </c>
      <c r="R108" s="532" cm="1">
        <f t="array" ref="R108">INDEX(R110:R112,$D$86)</f>
        <v>0.75</v>
      </c>
      <c r="S108" s="532" cm="1">
        <f t="array" ref="S108">INDEX(S110:S112,$D$86)</f>
        <v>0.75</v>
      </c>
      <c r="T108" s="532" cm="1">
        <f t="array" ref="T108">INDEX(T110:T112,$D$86)</f>
        <v>0.75</v>
      </c>
      <c r="U108" s="532" cm="1">
        <f t="array" ref="U108">INDEX(U110:U112,$D$86)</f>
        <v>0.75</v>
      </c>
      <c r="V108" s="532" cm="1">
        <f t="array" ref="V108">INDEX(V110:V112,$D$86)</f>
        <v>0.75</v>
      </c>
      <c r="W108" s="532" cm="1">
        <f t="array" ref="W108">INDEX(W110:W112,$D$86)</f>
        <v>0.75</v>
      </c>
      <c r="X108" s="532" cm="1">
        <f t="array" ref="X108">INDEX(X110:X112,$D$86)</f>
        <v>0.75</v>
      </c>
      <c r="Y108" s="532" cm="1">
        <f t="array" ref="Y108">INDEX(Y110:Y112,$D$86)</f>
        <v>0.75</v>
      </c>
      <c r="Z108" s="532" cm="1">
        <f t="array" ref="Z108">INDEX(Z110:Z112,$D$86)</f>
        <v>0.75</v>
      </c>
      <c r="AA108" s="533" cm="1">
        <f t="array" ref="AA108">INDEX(AA110:AA112,$D$86)</f>
        <v>0.75</v>
      </c>
    </row>
    <row r="109" spans="2:27" s="6" customFormat="1" ht="15" customHeight="1" outlineLevel="1">
      <c r="B109" s="78"/>
      <c r="C109" s="202"/>
      <c r="D109" s="202"/>
      <c r="E109" s="202"/>
      <c r="F109" s="202"/>
      <c r="G109" s="202"/>
      <c r="H109" s="213"/>
      <c r="I109" s="212"/>
      <c r="J109" s="211"/>
      <c r="K109" s="211"/>
      <c r="L109" s="211"/>
      <c r="P109" s="296"/>
    </row>
    <row r="110" spans="2:27" s="6" customFormat="1" ht="15" customHeight="1" outlineLevel="1">
      <c r="B110" s="203" t="str">
        <f>$B$96</f>
        <v>Best Case</v>
      </c>
      <c r="C110" s="65"/>
      <c r="D110" s="530" t="s">
        <v>123</v>
      </c>
      <c r="E110" s="65"/>
      <c r="F110" s="387">
        <v>0</v>
      </c>
      <c r="G110" s="388">
        <v>0</v>
      </c>
      <c r="H110" s="384">
        <v>0.8</v>
      </c>
      <c r="I110" s="384">
        <v>0.8</v>
      </c>
      <c r="J110" s="384">
        <v>0.8</v>
      </c>
      <c r="K110" s="384">
        <v>0.8</v>
      </c>
      <c r="L110" s="384">
        <v>0.8</v>
      </c>
      <c r="M110" s="384">
        <v>0.8</v>
      </c>
      <c r="N110" s="384">
        <v>0.8</v>
      </c>
      <c r="O110" s="384">
        <v>0.8</v>
      </c>
      <c r="P110" s="384">
        <v>0.8</v>
      </c>
      <c r="Q110" s="384">
        <v>0.8</v>
      </c>
      <c r="R110" s="384">
        <v>0.8</v>
      </c>
      <c r="S110" s="384">
        <v>0.8</v>
      </c>
      <c r="T110" s="384">
        <v>0.8</v>
      </c>
      <c r="U110" s="384">
        <v>0.8</v>
      </c>
      <c r="V110" s="384">
        <v>0.8</v>
      </c>
      <c r="W110" s="384">
        <v>0.8</v>
      </c>
      <c r="X110" s="384">
        <v>0.8</v>
      </c>
      <c r="Y110" s="384">
        <v>0.8</v>
      </c>
      <c r="Z110" s="384">
        <v>0.8</v>
      </c>
      <c r="AA110" s="384">
        <v>0.8</v>
      </c>
    </row>
    <row r="111" spans="2:27" s="6" customFormat="1" ht="15" customHeight="1" outlineLevel="1">
      <c r="B111" s="203" t="str">
        <f>$B$97</f>
        <v>Base Case</v>
      </c>
      <c r="C111" s="65"/>
      <c r="D111" s="530" t="s">
        <v>123</v>
      </c>
      <c r="E111" s="65"/>
      <c r="F111" s="389">
        <v>0</v>
      </c>
      <c r="G111" s="390">
        <v>0</v>
      </c>
      <c r="H111" s="385">
        <v>0.75</v>
      </c>
      <c r="I111" s="385">
        <v>0.75</v>
      </c>
      <c r="J111" s="385">
        <v>0.75</v>
      </c>
      <c r="K111" s="385">
        <v>0.75</v>
      </c>
      <c r="L111" s="385">
        <v>0.75</v>
      </c>
      <c r="M111" s="385">
        <v>0.75</v>
      </c>
      <c r="N111" s="385">
        <v>0.75</v>
      </c>
      <c r="O111" s="385">
        <v>0.75</v>
      </c>
      <c r="P111" s="385">
        <v>0.75</v>
      </c>
      <c r="Q111" s="385">
        <v>0.75</v>
      </c>
      <c r="R111" s="385">
        <v>0.75</v>
      </c>
      <c r="S111" s="385">
        <v>0.75</v>
      </c>
      <c r="T111" s="385">
        <v>0.75</v>
      </c>
      <c r="U111" s="385">
        <v>0.75</v>
      </c>
      <c r="V111" s="385">
        <v>0.75</v>
      </c>
      <c r="W111" s="385">
        <v>0.75</v>
      </c>
      <c r="X111" s="385">
        <v>0.75</v>
      </c>
      <c r="Y111" s="385">
        <v>0.75</v>
      </c>
      <c r="Z111" s="385">
        <v>0.75</v>
      </c>
      <c r="AA111" s="385">
        <v>0.75</v>
      </c>
    </row>
    <row r="112" spans="2:27" s="6" customFormat="1" ht="15" customHeight="1" outlineLevel="1">
      <c r="B112" s="203" t="str">
        <f>$B$98</f>
        <v>Worst Case</v>
      </c>
      <c r="C112" s="65"/>
      <c r="D112" s="530" t="s">
        <v>123</v>
      </c>
      <c r="E112" s="65"/>
      <c r="F112" s="391">
        <v>0</v>
      </c>
      <c r="G112" s="392">
        <v>0</v>
      </c>
      <c r="H112" s="386">
        <v>0.7</v>
      </c>
      <c r="I112" s="386">
        <v>0.7</v>
      </c>
      <c r="J112" s="386">
        <v>0.7</v>
      </c>
      <c r="K112" s="386">
        <v>0.7</v>
      </c>
      <c r="L112" s="386">
        <v>0.7</v>
      </c>
      <c r="M112" s="386">
        <v>0.7</v>
      </c>
      <c r="N112" s="386">
        <v>0.7</v>
      </c>
      <c r="O112" s="386">
        <v>0.7</v>
      </c>
      <c r="P112" s="386">
        <v>0.7</v>
      </c>
      <c r="Q112" s="386">
        <v>0.7</v>
      </c>
      <c r="R112" s="386">
        <v>0.7</v>
      </c>
      <c r="S112" s="386">
        <v>0.7</v>
      </c>
      <c r="T112" s="386">
        <v>0.7</v>
      </c>
      <c r="U112" s="386">
        <v>0.7</v>
      </c>
      <c r="V112" s="386">
        <v>0.7</v>
      </c>
      <c r="W112" s="386">
        <v>0.7</v>
      </c>
      <c r="X112" s="386">
        <v>0.7</v>
      </c>
      <c r="Y112" s="386">
        <v>0.7</v>
      </c>
      <c r="Z112" s="386">
        <v>0.7</v>
      </c>
      <c r="AA112" s="386">
        <v>0.7</v>
      </c>
    </row>
    <row r="113" spans="2:27" s="6" customFormat="1" ht="15" customHeight="1" outlineLevel="1">
      <c r="B113" s="203"/>
      <c r="C113" s="65"/>
      <c r="D113" s="65"/>
      <c r="E113" s="65"/>
      <c r="F113" s="529"/>
      <c r="G113" s="390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</row>
    <row r="114" spans="2:27" s="6" customFormat="1" ht="15" customHeight="1" outlineLevel="1">
      <c r="B114" s="203"/>
      <c r="C114" s="65"/>
      <c r="D114" s="65"/>
      <c r="E114" s="65"/>
      <c r="F114" s="529"/>
      <c r="G114" s="390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</row>
    <row r="115" spans="2:27" s="6" customFormat="1" ht="15" customHeight="1" outlineLevel="1">
      <c r="B115" s="200" t="s">
        <v>260</v>
      </c>
      <c r="C115" s="202"/>
      <c r="D115" s="202"/>
      <c r="E115" s="202"/>
      <c r="F115" s="537" cm="1">
        <f t="array" ref="F115">INDEX(F117:F119,$D$86)</f>
        <v>52.019999999999996</v>
      </c>
      <c r="G115" s="537" cm="1">
        <f t="array" ref="G115">INDEX(G117:G119,$D$86)</f>
        <v>53.060399999999994</v>
      </c>
      <c r="H115" s="537" cm="1">
        <f t="array" ref="H115">INDEX(H117:H119,$D$86)</f>
        <v>54.121607999999995</v>
      </c>
      <c r="I115" s="537" cm="1">
        <f t="array" ref="I115">INDEX(I117:I119,$D$86)</f>
        <v>55.204040159999998</v>
      </c>
      <c r="J115" s="537" cm="1">
        <f t="array" ref="J115">INDEX(J117:J119,$D$86)</f>
        <v>56.308120963199997</v>
      </c>
      <c r="K115" s="537" cm="1">
        <f t="array" ref="K115">INDEX(K117:K119,$D$86)</f>
        <v>57.377975261500794</v>
      </c>
      <c r="L115" s="537" cm="1">
        <f t="array" ref="L115">INDEX(L117:L119,$D$86)</f>
        <v>58.468156791469305</v>
      </c>
      <c r="M115" s="537" cm="1">
        <f t="array" ref="M115">INDEX(M117:M119,$D$86)</f>
        <v>59.579051770507213</v>
      </c>
      <c r="N115" s="537" cm="1">
        <f t="array" ref="N115">INDEX(N117:N119,$D$86)</f>
        <v>60.711053754146846</v>
      </c>
      <c r="O115" s="537" cm="1">
        <f t="array" ref="O115">INDEX(O117:O119,$D$86)</f>
        <v>61.803852721721491</v>
      </c>
      <c r="P115" s="537" cm="1">
        <f t="array" ref="P115">INDEX(P117:P119,$D$86)</f>
        <v>62.916322070712475</v>
      </c>
      <c r="Q115" s="537" cm="1">
        <f t="array" ref="Q115">INDEX(Q117:Q119,$D$86)</f>
        <v>64.048815867985297</v>
      </c>
      <c r="R115" s="537" cm="1">
        <f t="array" ref="R115">INDEX(R117:R119,$D$86)</f>
        <v>65.137645737741039</v>
      </c>
      <c r="S115" s="537" cm="1">
        <f t="array" ref="S115">INDEX(S117:S119,$D$86)</f>
        <v>66.179848069544903</v>
      </c>
      <c r="T115" s="537" cm="1">
        <f t="array" ref="T115">INDEX(T117:T119,$D$86)</f>
        <v>67.238725638657627</v>
      </c>
      <c r="U115" s="537" cm="1">
        <f t="array" ref="U115">INDEX(U117:U119,$D$86)</f>
        <v>68.314545248876144</v>
      </c>
      <c r="V115" s="537" cm="1">
        <f t="array" ref="V115">INDEX(V117:V119,$D$86)</f>
        <v>69.407577972858164</v>
      </c>
      <c r="W115" s="537" cm="1">
        <f t="array" ref="W115">INDEX(W117:W119,$D$86)</f>
        <v>70.518099220423892</v>
      </c>
      <c r="X115" s="537" cm="1">
        <f t="array" ref="X115">INDEX(X117:X119,$D$86)</f>
        <v>71.646388807950672</v>
      </c>
      <c r="Y115" s="537" cm="1">
        <f t="array" ref="Y115">INDEX(Y117:Y119,$D$86)</f>
        <v>72.792731028877881</v>
      </c>
      <c r="Z115" s="537" cm="1">
        <f t="array" ref="Z115">INDEX(Z117:Z119,$D$86)</f>
        <v>73.95741472533993</v>
      </c>
      <c r="AA115" s="538" cm="1">
        <f t="array" ref="AA115">INDEX(AA117:AA119,$D$86)</f>
        <v>75.140733360945376</v>
      </c>
    </row>
    <row r="116" spans="2:27" s="6" customFormat="1" ht="15" customHeight="1" outlineLevel="1">
      <c r="B116" s="78"/>
      <c r="C116" s="202"/>
      <c r="D116" s="202"/>
      <c r="E116" s="202"/>
      <c r="F116" s="202"/>
      <c r="G116" s="202"/>
      <c r="H116" s="213"/>
      <c r="I116" s="212"/>
      <c r="J116" s="211"/>
      <c r="K116" s="211"/>
      <c r="L116" s="211"/>
      <c r="P116" s="296"/>
    </row>
    <row r="117" spans="2:27" s="6" customFormat="1" ht="15" customHeight="1" outlineLevel="1">
      <c r="B117" s="203" t="str">
        <f>$B$96</f>
        <v>Best Case</v>
      </c>
      <c r="C117" s="65"/>
      <c r="D117" s="530" t="s">
        <v>259</v>
      </c>
      <c r="E117" s="65"/>
      <c r="F117" s="642">
        <v>47</v>
      </c>
      <c r="G117" s="642">
        <f>F117*(1+G88)</f>
        <v>47.94</v>
      </c>
      <c r="H117" s="642">
        <f t="shared" ref="H117:AA117" si="2">G117*(1+H88)</f>
        <v>48.898800000000001</v>
      </c>
      <c r="I117" s="642">
        <f t="shared" si="2"/>
        <v>49.876776</v>
      </c>
      <c r="J117" s="642">
        <f t="shared" si="2"/>
        <v>50.874311519999999</v>
      </c>
      <c r="K117" s="642">
        <f t="shared" si="2"/>
        <v>51.840923438879997</v>
      </c>
      <c r="L117" s="642">
        <f t="shared" si="2"/>
        <v>52.825900984218713</v>
      </c>
      <c r="M117" s="642">
        <f t="shared" si="2"/>
        <v>53.829593102918864</v>
      </c>
      <c r="N117" s="642">
        <f t="shared" si="2"/>
        <v>54.852355371874317</v>
      </c>
      <c r="O117" s="642">
        <f t="shared" si="2"/>
        <v>55.839697768568058</v>
      </c>
      <c r="P117" s="642">
        <f t="shared" si="2"/>
        <v>56.844812328402284</v>
      </c>
      <c r="Q117" s="642">
        <f t="shared" si="2"/>
        <v>57.868018950313527</v>
      </c>
      <c r="R117" s="642">
        <f t="shared" si="2"/>
        <v>58.851775272468849</v>
      </c>
      <c r="S117" s="642">
        <f t="shared" si="2"/>
        <v>59.793403676828355</v>
      </c>
      <c r="T117" s="642">
        <f t="shared" si="2"/>
        <v>60.750098135657609</v>
      </c>
      <c r="U117" s="642">
        <f t="shared" si="2"/>
        <v>61.722099705828128</v>
      </c>
      <c r="V117" s="642">
        <f t="shared" si="2"/>
        <v>62.709653301121378</v>
      </c>
      <c r="W117" s="642">
        <f t="shared" si="2"/>
        <v>63.713007753939323</v>
      </c>
      <c r="X117" s="642">
        <f t="shared" si="2"/>
        <v>64.732415878002357</v>
      </c>
      <c r="Y117" s="642">
        <f t="shared" si="2"/>
        <v>65.768134532050397</v>
      </c>
      <c r="Z117" s="642">
        <f t="shared" si="2"/>
        <v>66.820424684563207</v>
      </c>
      <c r="AA117" s="642">
        <f t="shared" si="2"/>
        <v>67.889551479516214</v>
      </c>
    </row>
    <row r="118" spans="2:27" s="6" customFormat="1" ht="15" customHeight="1" outlineLevel="1">
      <c r="B118" s="203" t="str">
        <f>$B$97</f>
        <v>Base Case</v>
      </c>
      <c r="C118" s="65"/>
      <c r="D118" s="530" t="s">
        <v>259</v>
      </c>
      <c r="E118" s="65"/>
      <c r="F118" s="642">
        <f>50*(1+0.02)^2</f>
        <v>52.019999999999996</v>
      </c>
      <c r="G118" s="642">
        <f>F118*(1+G88)</f>
        <v>53.060399999999994</v>
      </c>
      <c r="H118" s="642">
        <f t="shared" ref="H118:AA118" si="3">G118*(1+H88)</f>
        <v>54.121607999999995</v>
      </c>
      <c r="I118" s="642">
        <f t="shared" si="3"/>
        <v>55.204040159999998</v>
      </c>
      <c r="J118" s="642">
        <f t="shared" si="3"/>
        <v>56.308120963199997</v>
      </c>
      <c r="K118" s="642">
        <f t="shared" si="3"/>
        <v>57.377975261500794</v>
      </c>
      <c r="L118" s="642">
        <f t="shared" si="3"/>
        <v>58.468156791469305</v>
      </c>
      <c r="M118" s="642">
        <f t="shared" si="3"/>
        <v>59.579051770507213</v>
      </c>
      <c r="N118" s="642">
        <f t="shared" si="3"/>
        <v>60.711053754146846</v>
      </c>
      <c r="O118" s="642">
        <f t="shared" si="3"/>
        <v>61.803852721721491</v>
      </c>
      <c r="P118" s="642">
        <f t="shared" si="3"/>
        <v>62.916322070712475</v>
      </c>
      <c r="Q118" s="642">
        <f t="shared" si="3"/>
        <v>64.048815867985297</v>
      </c>
      <c r="R118" s="642">
        <f t="shared" si="3"/>
        <v>65.137645737741039</v>
      </c>
      <c r="S118" s="642">
        <f t="shared" si="3"/>
        <v>66.179848069544903</v>
      </c>
      <c r="T118" s="642">
        <f t="shared" si="3"/>
        <v>67.238725638657627</v>
      </c>
      <c r="U118" s="642">
        <f t="shared" si="3"/>
        <v>68.314545248876144</v>
      </c>
      <c r="V118" s="642">
        <f t="shared" si="3"/>
        <v>69.407577972858164</v>
      </c>
      <c r="W118" s="642">
        <f t="shared" si="3"/>
        <v>70.518099220423892</v>
      </c>
      <c r="X118" s="642">
        <f t="shared" si="3"/>
        <v>71.646388807950672</v>
      </c>
      <c r="Y118" s="642">
        <f t="shared" si="3"/>
        <v>72.792731028877881</v>
      </c>
      <c r="Z118" s="642">
        <f t="shared" si="3"/>
        <v>73.95741472533993</v>
      </c>
      <c r="AA118" s="642">
        <f t="shared" si="3"/>
        <v>75.140733360945376</v>
      </c>
    </row>
    <row r="119" spans="2:27" s="6" customFormat="1" ht="15" customHeight="1" outlineLevel="1">
      <c r="B119" s="203" t="str">
        <f>$B$98</f>
        <v>Worst Case</v>
      </c>
      <c r="C119" s="65"/>
      <c r="D119" s="530" t="s">
        <v>259</v>
      </c>
      <c r="E119" s="65"/>
      <c r="F119" s="642">
        <v>57</v>
      </c>
      <c r="G119" s="642">
        <f>F119*(1+G88)</f>
        <v>58.14</v>
      </c>
      <c r="H119" s="642">
        <f t="shared" ref="H119:AA119" si="4">G119*(1+H88)</f>
        <v>59.302800000000005</v>
      </c>
      <c r="I119" s="642">
        <f t="shared" si="4"/>
        <v>60.488856000000006</v>
      </c>
      <c r="J119" s="642">
        <f t="shared" si="4"/>
        <v>61.698633120000004</v>
      </c>
      <c r="K119" s="642">
        <f t="shared" si="4"/>
        <v>62.870907149280001</v>
      </c>
      <c r="L119" s="642">
        <f t="shared" si="4"/>
        <v>64.065454385116311</v>
      </c>
      <c r="M119" s="642">
        <f t="shared" si="4"/>
        <v>65.282698018433521</v>
      </c>
      <c r="N119" s="642">
        <f t="shared" si="4"/>
        <v>66.523069280783758</v>
      </c>
      <c r="O119" s="642">
        <f t="shared" si="4"/>
        <v>67.720484527837868</v>
      </c>
      <c r="P119" s="642">
        <f t="shared" si="4"/>
        <v>68.939453249338953</v>
      </c>
      <c r="Q119" s="642">
        <f t="shared" si="4"/>
        <v>70.180363407827059</v>
      </c>
      <c r="R119" s="642">
        <f t="shared" si="4"/>
        <v>71.373429585760107</v>
      </c>
      <c r="S119" s="642">
        <f t="shared" si="4"/>
        <v>72.51540445913227</v>
      </c>
      <c r="T119" s="642">
        <f t="shared" si="4"/>
        <v>73.675650930478383</v>
      </c>
      <c r="U119" s="642">
        <f t="shared" si="4"/>
        <v>74.854461345366033</v>
      </c>
      <c r="V119" s="642">
        <f t="shared" si="4"/>
        <v>76.052132726891884</v>
      </c>
      <c r="W119" s="642">
        <f t="shared" si="4"/>
        <v>77.268966850522162</v>
      </c>
      <c r="X119" s="642">
        <f t="shared" si="4"/>
        <v>78.505270320130521</v>
      </c>
      <c r="Y119" s="642">
        <f t="shared" si="4"/>
        <v>79.761354645252609</v>
      </c>
      <c r="Z119" s="642">
        <f t="shared" si="4"/>
        <v>81.037536319576645</v>
      </c>
      <c r="AA119" s="642">
        <f t="shared" si="4"/>
        <v>82.33413690068987</v>
      </c>
    </row>
    <row r="120" spans="2:27" s="6" customFormat="1" ht="15" customHeight="1" outlineLevel="1">
      <c r="B120" s="534" t="s">
        <v>342</v>
      </c>
      <c r="C120" s="65"/>
      <c r="D120" s="65"/>
      <c r="E120" s="65"/>
      <c r="F120" s="529"/>
      <c r="G120" s="390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  <c r="AA120" s="385"/>
    </row>
    <row r="121" spans="2:27" s="6" customFormat="1" ht="15" customHeight="1" outlineLevel="1">
      <c r="B121" s="203"/>
      <c r="C121" s="65"/>
      <c r="D121" s="65"/>
      <c r="E121" s="65"/>
      <c r="F121" s="529"/>
      <c r="G121" s="390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  <c r="AA121" s="385"/>
    </row>
    <row r="122" spans="2:27" s="6" customFormat="1" ht="15" customHeight="1" outlineLevel="1">
      <c r="B122" s="200" t="s">
        <v>261</v>
      </c>
      <c r="C122" s="202"/>
      <c r="D122" s="202"/>
      <c r="E122" s="202"/>
      <c r="F122" s="537" cm="1">
        <f t="array" ref="F122">INDEX(F124:F126,$D$86)</f>
        <v>104.03999999999999</v>
      </c>
      <c r="G122" s="537" cm="1">
        <f t="array" ref="G122">INDEX(G124:G126,$D$86)</f>
        <v>106.12079999999999</v>
      </c>
      <c r="H122" s="537" cm="1">
        <f t="array" ref="H122">INDEX(H124:H126,$D$86)</f>
        <v>108.24321599999999</v>
      </c>
      <c r="I122" s="537" cm="1">
        <f t="array" ref="I122">INDEX(I124:I126,$D$86)</f>
        <v>110.40808032</v>
      </c>
      <c r="J122" s="537" cm="1">
        <f t="array" ref="J122">INDEX(J124:J126,$D$86)</f>
        <v>112.61624192639999</v>
      </c>
      <c r="K122" s="537" cm="1">
        <f t="array" ref="K122">INDEX(K124:K126,$D$86)</f>
        <v>114.75595052300159</v>
      </c>
      <c r="L122" s="537" cm="1">
        <f t="array" ref="L122">INDEX(L124:L126,$D$86)</f>
        <v>116.93631358293861</v>
      </c>
      <c r="M122" s="537" cm="1">
        <f t="array" ref="M122">INDEX(M124:M126,$D$86)</f>
        <v>119.15810354101443</v>
      </c>
      <c r="N122" s="537" cm="1">
        <f t="array" ref="N122">INDEX(N124:N126,$D$86)</f>
        <v>121.42210750829369</v>
      </c>
      <c r="O122" s="537" cm="1">
        <f t="array" ref="O122">INDEX(O124:O126,$D$86)</f>
        <v>123.60770544344298</v>
      </c>
      <c r="P122" s="537" cm="1">
        <f t="array" ref="P122">INDEX(P124:P126,$D$86)</f>
        <v>125.83264414142495</v>
      </c>
      <c r="Q122" s="537" cm="1">
        <f t="array" ref="Q122">INDEX(Q124:Q126,$D$86)</f>
        <v>128.09763173597059</v>
      </c>
      <c r="R122" s="537" cm="1">
        <f t="array" ref="R122">INDEX(R124:R126,$D$86)</f>
        <v>130.27529147548208</v>
      </c>
      <c r="S122" s="537" cm="1">
        <f t="array" ref="S122">INDEX(S124:S126,$D$86)</f>
        <v>132.35969613908981</v>
      </c>
      <c r="T122" s="537" cm="1">
        <f t="array" ref="T122">INDEX(T124:T126,$D$86)</f>
        <v>134.47745127731525</v>
      </c>
      <c r="U122" s="537" cm="1">
        <f t="array" ref="U122">INDEX(U124:U126,$D$86)</f>
        <v>136.62909049775229</v>
      </c>
      <c r="V122" s="537" cm="1">
        <f t="array" ref="V122">INDEX(V124:V126,$D$86)</f>
        <v>138.81515594571633</v>
      </c>
      <c r="W122" s="537" cm="1">
        <f t="array" ref="W122">INDEX(W124:W126,$D$86)</f>
        <v>141.03619844084778</v>
      </c>
      <c r="X122" s="537" cm="1">
        <f t="array" ref="X122">INDEX(X124:X126,$D$86)</f>
        <v>143.29277761590134</v>
      </c>
      <c r="Y122" s="537" cm="1">
        <f t="array" ref="Y122">INDEX(Y124:Y126,$D$86)</f>
        <v>145.58546205775576</v>
      </c>
      <c r="Z122" s="537" cm="1">
        <f t="array" ref="Z122">INDEX(Z124:Z126,$D$86)</f>
        <v>147.91482945067986</v>
      </c>
      <c r="AA122" s="538" cm="1">
        <f t="array" ref="AA122">INDEX(AA124:AA126,$D$86)</f>
        <v>150.28146672189075</v>
      </c>
    </row>
    <row r="123" spans="2:27" s="6" customFormat="1" ht="15" customHeight="1" outlineLevel="1">
      <c r="B123" s="78"/>
      <c r="C123" s="202"/>
      <c r="D123" s="202"/>
      <c r="E123" s="202"/>
      <c r="F123" s="202"/>
      <c r="G123" s="202"/>
      <c r="H123" s="213"/>
      <c r="I123" s="212"/>
      <c r="J123" s="211"/>
      <c r="K123" s="211"/>
      <c r="L123" s="211"/>
      <c r="P123" s="296"/>
    </row>
    <row r="124" spans="2:27" s="6" customFormat="1" ht="15" customHeight="1" outlineLevel="1">
      <c r="B124" s="203" t="str">
        <f>$B$96</f>
        <v>Best Case</v>
      </c>
      <c r="C124" s="65"/>
      <c r="D124" s="530" t="s">
        <v>258</v>
      </c>
      <c r="E124" s="65"/>
      <c r="F124" s="536">
        <v>94</v>
      </c>
      <c r="G124" s="536">
        <f>F124*(1+G88)</f>
        <v>95.88</v>
      </c>
      <c r="H124" s="536">
        <f t="shared" ref="H124:AA124" si="5">G124*(1+H88)</f>
        <v>97.797600000000003</v>
      </c>
      <c r="I124" s="536">
        <f t="shared" si="5"/>
        <v>99.753551999999999</v>
      </c>
      <c r="J124" s="536">
        <f t="shared" si="5"/>
        <v>101.74862304</v>
      </c>
      <c r="K124" s="536">
        <f t="shared" si="5"/>
        <v>103.68184687775999</v>
      </c>
      <c r="L124" s="536">
        <f t="shared" si="5"/>
        <v>105.65180196843743</v>
      </c>
      <c r="M124" s="536">
        <f t="shared" si="5"/>
        <v>107.65918620583773</v>
      </c>
      <c r="N124" s="536">
        <f t="shared" si="5"/>
        <v>109.70471074374863</v>
      </c>
      <c r="O124" s="536">
        <f t="shared" si="5"/>
        <v>111.67939553713612</v>
      </c>
      <c r="P124" s="536">
        <f t="shared" si="5"/>
        <v>113.68962465680457</v>
      </c>
      <c r="Q124" s="536">
        <f t="shared" si="5"/>
        <v>115.73603790062705</v>
      </c>
      <c r="R124" s="536">
        <f t="shared" si="5"/>
        <v>117.7035505449377</v>
      </c>
      <c r="S124" s="536">
        <f t="shared" si="5"/>
        <v>119.58680735365671</v>
      </c>
      <c r="T124" s="536">
        <f t="shared" si="5"/>
        <v>121.50019627131522</v>
      </c>
      <c r="U124" s="536">
        <f t="shared" si="5"/>
        <v>123.44419941165626</v>
      </c>
      <c r="V124" s="536">
        <f t="shared" si="5"/>
        <v>125.41930660224276</v>
      </c>
      <c r="W124" s="536">
        <f t="shared" si="5"/>
        <v>127.42601550787865</v>
      </c>
      <c r="X124" s="536">
        <f t="shared" si="5"/>
        <v>129.46483175600471</v>
      </c>
      <c r="Y124" s="536">
        <f t="shared" si="5"/>
        <v>131.53626906410079</v>
      </c>
      <c r="Z124" s="536">
        <f t="shared" si="5"/>
        <v>133.64084936912641</v>
      </c>
      <c r="AA124" s="536">
        <f t="shared" si="5"/>
        <v>135.77910295903243</v>
      </c>
    </row>
    <row r="125" spans="2:27" s="6" customFormat="1" ht="15" customHeight="1" outlineLevel="1">
      <c r="B125" s="203" t="str">
        <f>$B$97</f>
        <v>Base Case</v>
      </c>
      <c r="C125" s="65"/>
      <c r="D125" s="530" t="s">
        <v>258</v>
      </c>
      <c r="E125" s="65"/>
      <c r="F125" s="536">
        <f>100*(1+0.02)^2</f>
        <v>104.03999999999999</v>
      </c>
      <c r="G125" s="536">
        <f>F125*(1+G88)</f>
        <v>106.12079999999999</v>
      </c>
      <c r="H125" s="536">
        <f t="shared" ref="H125:AA125" si="6">G125*(1+H88)</f>
        <v>108.24321599999999</v>
      </c>
      <c r="I125" s="536">
        <f t="shared" si="6"/>
        <v>110.40808032</v>
      </c>
      <c r="J125" s="536">
        <f t="shared" si="6"/>
        <v>112.61624192639999</v>
      </c>
      <c r="K125" s="536">
        <f t="shared" si="6"/>
        <v>114.75595052300159</v>
      </c>
      <c r="L125" s="536">
        <f t="shared" si="6"/>
        <v>116.93631358293861</v>
      </c>
      <c r="M125" s="536">
        <f t="shared" si="6"/>
        <v>119.15810354101443</v>
      </c>
      <c r="N125" s="536">
        <f t="shared" si="6"/>
        <v>121.42210750829369</v>
      </c>
      <c r="O125" s="536">
        <f t="shared" si="6"/>
        <v>123.60770544344298</v>
      </c>
      <c r="P125" s="536">
        <f t="shared" si="6"/>
        <v>125.83264414142495</v>
      </c>
      <c r="Q125" s="536">
        <f t="shared" si="6"/>
        <v>128.09763173597059</v>
      </c>
      <c r="R125" s="536">
        <f t="shared" si="6"/>
        <v>130.27529147548208</v>
      </c>
      <c r="S125" s="536">
        <f t="shared" si="6"/>
        <v>132.35969613908981</v>
      </c>
      <c r="T125" s="536">
        <f t="shared" si="6"/>
        <v>134.47745127731525</v>
      </c>
      <c r="U125" s="536">
        <f t="shared" si="6"/>
        <v>136.62909049775229</v>
      </c>
      <c r="V125" s="536">
        <f t="shared" si="6"/>
        <v>138.81515594571633</v>
      </c>
      <c r="W125" s="536">
        <f t="shared" si="6"/>
        <v>141.03619844084778</v>
      </c>
      <c r="X125" s="536">
        <f t="shared" si="6"/>
        <v>143.29277761590134</v>
      </c>
      <c r="Y125" s="536">
        <f t="shared" si="6"/>
        <v>145.58546205775576</v>
      </c>
      <c r="Z125" s="536">
        <f t="shared" si="6"/>
        <v>147.91482945067986</v>
      </c>
      <c r="AA125" s="536">
        <f t="shared" si="6"/>
        <v>150.28146672189075</v>
      </c>
    </row>
    <row r="126" spans="2:27" s="6" customFormat="1" ht="15" customHeight="1" outlineLevel="1">
      <c r="B126" s="203" t="str">
        <f>$B$98</f>
        <v>Worst Case</v>
      </c>
      <c r="C126" s="65"/>
      <c r="D126" s="530" t="s">
        <v>258</v>
      </c>
      <c r="E126" s="65"/>
      <c r="F126" s="536">
        <v>114</v>
      </c>
      <c r="G126" s="536">
        <f>F126*(1+G88)</f>
        <v>116.28</v>
      </c>
      <c r="H126" s="536">
        <f t="shared" ref="H126:AA126" si="7">G126*(1+H88)</f>
        <v>118.60560000000001</v>
      </c>
      <c r="I126" s="536">
        <f t="shared" si="7"/>
        <v>120.97771200000001</v>
      </c>
      <c r="J126" s="536">
        <f t="shared" si="7"/>
        <v>123.39726624000001</v>
      </c>
      <c r="K126" s="536">
        <f t="shared" si="7"/>
        <v>125.74181429856</v>
      </c>
      <c r="L126" s="536">
        <f t="shared" si="7"/>
        <v>128.13090877023262</v>
      </c>
      <c r="M126" s="536">
        <f t="shared" si="7"/>
        <v>130.56539603686704</v>
      </c>
      <c r="N126" s="536">
        <f t="shared" si="7"/>
        <v>133.04613856156752</v>
      </c>
      <c r="O126" s="536">
        <f t="shared" si="7"/>
        <v>135.44096905567574</v>
      </c>
      <c r="P126" s="536">
        <f t="shared" si="7"/>
        <v>137.87890649867791</v>
      </c>
      <c r="Q126" s="536">
        <f t="shared" si="7"/>
        <v>140.36072681565412</v>
      </c>
      <c r="R126" s="536">
        <f t="shared" si="7"/>
        <v>142.74685917152021</v>
      </c>
      <c r="S126" s="536">
        <f t="shared" si="7"/>
        <v>145.03080891826454</v>
      </c>
      <c r="T126" s="536">
        <f t="shared" si="7"/>
        <v>147.35130186095677</v>
      </c>
      <c r="U126" s="536">
        <f t="shared" si="7"/>
        <v>149.70892269073207</v>
      </c>
      <c r="V126" s="536">
        <f t="shared" si="7"/>
        <v>152.10426545378377</v>
      </c>
      <c r="W126" s="536">
        <f t="shared" si="7"/>
        <v>154.53793370104432</v>
      </c>
      <c r="X126" s="536">
        <f t="shared" si="7"/>
        <v>157.01054064026104</v>
      </c>
      <c r="Y126" s="536">
        <f t="shared" si="7"/>
        <v>159.52270929050522</v>
      </c>
      <c r="Z126" s="536">
        <f t="shared" si="7"/>
        <v>162.07507263915329</v>
      </c>
      <c r="AA126" s="536">
        <f t="shared" si="7"/>
        <v>164.66827380137974</v>
      </c>
    </row>
    <row r="127" spans="2:27" s="6" customFormat="1" ht="15" customHeight="1" outlineLevel="1">
      <c r="B127" s="534" t="s">
        <v>341</v>
      </c>
      <c r="C127" s="65"/>
      <c r="D127" s="65"/>
      <c r="E127" s="65"/>
      <c r="F127" s="529"/>
      <c r="G127" s="390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  <c r="AA127" s="385"/>
    </row>
    <row r="128" spans="2:27" s="6" customFormat="1" ht="15" customHeight="1" outlineLevel="1">
      <c r="B128" s="78"/>
      <c r="C128" s="202"/>
      <c r="D128" s="202"/>
      <c r="E128" s="202"/>
      <c r="F128" s="202"/>
      <c r="G128" s="201"/>
      <c r="H128" s="201"/>
      <c r="I128" s="201"/>
      <c r="J128" s="201"/>
      <c r="K128" s="201"/>
      <c r="L128" s="201"/>
      <c r="P128"/>
    </row>
    <row r="129" spans="2:27" s="6" customFormat="1" ht="15" customHeight="1" outlineLevel="1">
      <c r="B129" s="200" t="s">
        <v>263</v>
      </c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P129" s="296"/>
    </row>
    <row r="130" spans="2:27" s="6" customFormat="1" ht="15" customHeight="1" outlineLevel="1">
      <c r="B130" s="196" t="s">
        <v>66</v>
      </c>
      <c r="C130" s="117"/>
      <c r="D130" s="122" t="s">
        <v>63</v>
      </c>
      <c r="E130" s="122"/>
      <c r="F130" s="199" t="s">
        <v>177</v>
      </c>
      <c r="G130" s="198" t="s">
        <v>177</v>
      </c>
      <c r="H130" s="198">
        <v>40</v>
      </c>
      <c r="I130" s="198">
        <v>40</v>
      </c>
      <c r="J130" s="198">
        <v>40</v>
      </c>
      <c r="K130" s="198">
        <v>40</v>
      </c>
      <c r="L130" s="198">
        <v>40</v>
      </c>
      <c r="M130" s="198">
        <v>40</v>
      </c>
      <c r="N130" s="198">
        <v>40</v>
      </c>
      <c r="O130" s="198">
        <v>40</v>
      </c>
      <c r="P130" s="198">
        <v>40</v>
      </c>
      <c r="Q130" s="198">
        <v>40</v>
      </c>
      <c r="R130" s="198">
        <v>40</v>
      </c>
      <c r="S130" s="198">
        <v>40</v>
      </c>
      <c r="T130" s="198">
        <v>40</v>
      </c>
      <c r="U130" s="198">
        <v>40</v>
      </c>
      <c r="V130" s="198">
        <v>40</v>
      </c>
      <c r="W130" s="198">
        <v>40</v>
      </c>
      <c r="X130" s="198">
        <v>40</v>
      </c>
      <c r="Y130" s="198">
        <v>40</v>
      </c>
      <c r="Z130" s="198">
        <v>40</v>
      </c>
      <c r="AA130" s="198">
        <v>40</v>
      </c>
    </row>
    <row r="131" spans="2:27" s="6" customFormat="1" ht="15" customHeight="1" outlineLevel="1">
      <c r="B131" s="196" t="s">
        <v>65</v>
      </c>
      <c r="C131" s="117"/>
      <c r="D131" s="122" t="s">
        <v>63</v>
      </c>
      <c r="E131" s="122"/>
      <c r="F131" s="197" t="s">
        <v>177</v>
      </c>
      <c r="G131" s="163" t="s">
        <v>177</v>
      </c>
      <c r="H131" s="163">
        <v>50</v>
      </c>
      <c r="I131" s="163">
        <v>50</v>
      </c>
      <c r="J131" s="163">
        <v>50</v>
      </c>
      <c r="K131" s="163">
        <v>50</v>
      </c>
      <c r="L131" s="163">
        <v>50</v>
      </c>
      <c r="M131" s="163">
        <v>50</v>
      </c>
      <c r="N131" s="163">
        <v>50</v>
      </c>
      <c r="O131" s="163">
        <v>50</v>
      </c>
      <c r="P131" s="163">
        <v>50</v>
      </c>
      <c r="Q131" s="163">
        <v>50</v>
      </c>
      <c r="R131" s="163">
        <v>50</v>
      </c>
      <c r="S131" s="163">
        <v>50</v>
      </c>
      <c r="T131" s="163">
        <v>50</v>
      </c>
      <c r="U131" s="163">
        <v>50</v>
      </c>
      <c r="V131" s="163">
        <v>50</v>
      </c>
      <c r="W131" s="163">
        <v>50</v>
      </c>
      <c r="X131" s="163">
        <v>50</v>
      </c>
      <c r="Y131" s="163">
        <v>50</v>
      </c>
      <c r="Z131" s="163">
        <v>50</v>
      </c>
      <c r="AA131" s="163">
        <v>50</v>
      </c>
    </row>
    <row r="132" spans="2:27" s="6" customFormat="1" ht="15" customHeight="1" outlineLevel="1">
      <c r="B132" s="196" t="s">
        <v>64</v>
      </c>
      <c r="C132" s="117"/>
      <c r="D132" s="122" t="s">
        <v>63</v>
      </c>
      <c r="E132" s="122"/>
      <c r="F132" s="195" t="s">
        <v>177</v>
      </c>
      <c r="G132" s="194" t="s">
        <v>177</v>
      </c>
      <c r="H132" s="194">
        <v>60</v>
      </c>
      <c r="I132" s="194">
        <v>60</v>
      </c>
      <c r="J132" s="194">
        <v>60</v>
      </c>
      <c r="K132" s="194">
        <v>60</v>
      </c>
      <c r="L132" s="194">
        <v>60</v>
      </c>
      <c r="M132" s="194">
        <v>60</v>
      </c>
      <c r="N132" s="194">
        <v>60</v>
      </c>
      <c r="O132" s="194">
        <v>60</v>
      </c>
      <c r="P132" s="194">
        <v>60</v>
      </c>
      <c r="Q132" s="194">
        <v>60</v>
      </c>
      <c r="R132" s="194">
        <v>60</v>
      </c>
      <c r="S132" s="194">
        <v>60</v>
      </c>
      <c r="T132" s="194">
        <v>60</v>
      </c>
      <c r="U132" s="194">
        <v>60</v>
      </c>
      <c r="V132" s="194">
        <v>60</v>
      </c>
      <c r="W132" s="194">
        <v>60</v>
      </c>
      <c r="X132" s="194">
        <v>60</v>
      </c>
      <c r="Y132" s="194">
        <v>60</v>
      </c>
      <c r="Z132" s="194">
        <v>60</v>
      </c>
      <c r="AA132" s="194">
        <v>60</v>
      </c>
    </row>
    <row r="133" spans="2:27" s="6" customFormat="1" ht="15" customHeight="1" outlineLevel="1"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P133" s="296"/>
    </row>
    <row r="134" spans="2:27" s="95" customFormat="1" ht="15" customHeight="1" outlineLevel="1">
      <c r="B134" s="535" t="s">
        <v>273</v>
      </c>
      <c r="C134" s="104"/>
      <c r="D134" s="96"/>
      <c r="E134" s="96"/>
      <c r="F134" s="96"/>
      <c r="G134" s="96"/>
      <c r="H134" s="96"/>
      <c r="I134" s="100"/>
      <c r="J134" s="100"/>
      <c r="K134" s="100"/>
      <c r="L134" s="535"/>
      <c r="P134" s="295"/>
    </row>
    <row r="135" spans="2:27" s="6" customFormat="1" ht="15" customHeight="1" outlineLevel="1">
      <c r="B135" s="130"/>
      <c r="C135" s="130"/>
      <c r="D135" s="130"/>
      <c r="E135" s="130"/>
      <c r="F135" s="130"/>
      <c r="G135" s="130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</row>
    <row r="136" spans="2:27" s="6" customFormat="1" ht="15" customHeight="1">
      <c r="B136" s="65"/>
      <c r="C136" s="65"/>
      <c r="D136" s="65"/>
      <c r="E136" s="65"/>
      <c r="F136" s="65"/>
      <c r="G136" s="65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</row>
    <row r="137" spans="2:27" s="6" customFormat="1" ht="15" customHeight="1">
      <c r="B137" s="108" t="s">
        <v>212</v>
      </c>
      <c r="C137" s="107"/>
      <c r="D137" s="107"/>
      <c r="E137" s="107"/>
      <c r="F137" s="106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</row>
    <row r="138" spans="2:27" s="6" customFormat="1" ht="15" customHeight="1" outlineLevel="1">
      <c r="B138" s="65"/>
      <c r="C138" s="65"/>
      <c r="D138" s="65"/>
      <c r="E138" s="65"/>
      <c r="F138" s="65"/>
      <c r="G138" s="65"/>
      <c r="H138" s="128"/>
      <c r="I138" s="128"/>
      <c r="J138" s="128"/>
      <c r="K138" s="128"/>
      <c r="L138" s="128"/>
      <c r="M138" s="128"/>
      <c r="P138"/>
    </row>
    <row r="139" spans="2:27" s="6" customFormat="1" ht="15" customHeight="1" outlineLevel="1" thickBot="1">
      <c r="B139" s="200" t="s">
        <v>68</v>
      </c>
      <c r="C139" s="65"/>
      <c r="D139" s="65">
        <f>Outputs!E35</f>
        <v>2</v>
      </c>
      <c r="E139" s="65"/>
      <c r="F139" s="383">
        <v>2025</v>
      </c>
      <c r="G139" s="217">
        <f>F139+1</f>
        <v>2026</v>
      </c>
      <c r="H139" s="217">
        <f t="shared" ref="H139:AA139" si="8">G139+1</f>
        <v>2027</v>
      </c>
      <c r="I139" s="217">
        <f t="shared" si="8"/>
        <v>2028</v>
      </c>
      <c r="J139" s="217">
        <f t="shared" si="8"/>
        <v>2029</v>
      </c>
      <c r="K139" s="217">
        <f t="shared" si="8"/>
        <v>2030</v>
      </c>
      <c r="L139" s="217">
        <f t="shared" si="8"/>
        <v>2031</v>
      </c>
      <c r="M139" s="217">
        <f t="shared" si="8"/>
        <v>2032</v>
      </c>
      <c r="N139" s="217">
        <f t="shared" si="8"/>
        <v>2033</v>
      </c>
      <c r="O139" s="217">
        <f t="shared" si="8"/>
        <v>2034</v>
      </c>
      <c r="P139" s="217">
        <f t="shared" si="8"/>
        <v>2035</v>
      </c>
      <c r="Q139" s="217">
        <f t="shared" si="8"/>
        <v>2036</v>
      </c>
      <c r="R139" s="217">
        <f t="shared" si="8"/>
        <v>2037</v>
      </c>
      <c r="S139" s="217">
        <f t="shared" si="8"/>
        <v>2038</v>
      </c>
      <c r="T139" s="217">
        <f t="shared" si="8"/>
        <v>2039</v>
      </c>
      <c r="U139" s="217">
        <f t="shared" si="8"/>
        <v>2040</v>
      </c>
      <c r="V139" s="217">
        <f t="shared" si="8"/>
        <v>2041</v>
      </c>
      <c r="W139" s="217">
        <f t="shared" si="8"/>
        <v>2042</v>
      </c>
      <c r="X139" s="217">
        <f t="shared" si="8"/>
        <v>2043</v>
      </c>
      <c r="Y139" s="217">
        <f t="shared" si="8"/>
        <v>2044</v>
      </c>
      <c r="Z139" s="217">
        <f t="shared" si="8"/>
        <v>2045</v>
      </c>
      <c r="AA139" s="217">
        <f t="shared" si="8"/>
        <v>2046</v>
      </c>
    </row>
    <row r="140" spans="2:27" s="6" customFormat="1" ht="15" customHeight="1" outlineLevel="1">
      <c r="B140" s="65"/>
      <c r="C140" s="65"/>
      <c r="D140" s="65"/>
      <c r="E140" s="65"/>
      <c r="F140" s="65"/>
      <c r="G140" s="65"/>
      <c r="H140" s="128"/>
      <c r="I140" s="128"/>
      <c r="J140" s="128"/>
      <c r="K140" s="128"/>
      <c r="L140" s="128"/>
      <c r="M140" s="128"/>
      <c r="P140"/>
    </row>
    <row r="141" spans="2:27" s="6" customFormat="1" ht="15" customHeight="1" outlineLevel="1">
      <c r="B141" s="200" t="s">
        <v>186</v>
      </c>
      <c r="C141" s="202"/>
      <c r="D141" s="202"/>
      <c r="E141" s="202"/>
      <c r="F141" s="210" cm="1">
        <f t="array" ref="F141">INDEX(F143:F144,$D$139)</f>
        <v>1500</v>
      </c>
      <c r="G141" s="209" cm="1">
        <f t="array" ref="G141">INDEX(G143:G144,$D$139)</f>
        <v>1500</v>
      </c>
      <c r="H141" s="209" cm="1">
        <f t="array" ref="H141">INDEX(H143:H144,$D$139)</f>
        <v>1000</v>
      </c>
      <c r="I141" s="209" cm="1">
        <f t="array" ref="I141">INDEX(I143:I144,$D$139)</f>
        <v>1000</v>
      </c>
      <c r="J141" s="209" cm="1">
        <f t="array" ref="J141">INDEX(J143:J144,$D$139)</f>
        <v>500</v>
      </c>
      <c r="K141" s="209" cm="1">
        <f t="array" ref="K141">INDEX(K143:K144,$D$139)</f>
        <v>0</v>
      </c>
      <c r="L141" s="209" cm="1">
        <f t="array" ref="L141">INDEX(L143:L144,$D$139)</f>
        <v>0</v>
      </c>
      <c r="M141" s="209" cm="1">
        <f t="array" ref="M141">INDEX(M143:M144,$D$139)</f>
        <v>0</v>
      </c>
      <c r="N141" s="209" cm="1">
        <f t="array" ref="N141">INDEX(N143:N144,$D$139)</f>
        <v>0</v>
      </c>
      <c r="O141" s="209" cm="1">
        <f t="array" ref="O141">INDEX(O143:O144,$D$139)</f>
        <v>0</v>
      </c>
      <c r="P141" s="209" cm="1">
        <f t="array" ref="P141">INDEX(P143:P144,$D$139)</f>
        <v>0</v>
      </c>
      <c r="Q141" s="209" cm="1">
        <f t="array" ref="Q141">INDEX(Q143:Q144,$D$139)</f>
        <v>0</v>
      </c>
      <c r="R141" s="209" cm="1">
        <f t="array" ref="R141">INDEX(R143:R144,$D$139)</f>
        <v>0</v>
      </c>
      <c r="S141" s="209" cm="1">
        <f t="array" ref="S141">INDEX(S143:S144,$D$139)</f>
        <v>0</v>
      </c>
      <c r="T141" s="209" cm="1">
        <f t="array" ref="T141">INDEX(T143:T144,$D$139)</f>
        <v>0</v>
      </c>
      <c r="U141" s="209" cm="1">
        <f t="array" ref="U141">INDEX(U143:U144,$D$139)</f>
        <v>0</v>
      </c>
      <c r="V141" s="209" cm="1">
        <f t="array" ref="V141">INDEX(V143:V144,$D$139)</f>
        <v>0</v>
      </c>
      <c r="W141" s="209" cm="1">
        <f t="array" ref="W141">INDEX(W143:W144,$D$139)</f>
        <v>0</v>
      </c>
      <c r="X141" s="209" cm="1">
        <f t="array" ref="X141">INDEX(X143:X144,$D$139)</f>
        <v>0</v>
      </c>
      <c r="Y141" s="209" cm="1">
        <f t="array" ref="Y141">INDEX(Y143:Y144,$D$139)</f>
        <v>0</v>
      </c>
      <c r="Z141" s="209" cm="1">
        <f t="array" ref="Z141">INDEX(Z143:Z144,$D$139)</f>
        <v>0</v>
      </c>
      <c r="AA141" s="208" cm="1">
        <f t="array" ref="AA141">INDEX(AA143:AA144,$D$139)</f>
        <v>0</v>
      </c>
    </row>
    <row r="142" spans="2:27" s="6" customFormat="1" ht="15" customHeight="1" outlineLevel="1">
      <c r="B142" s="78"/>
      <c r="C142" s="202"/>
      <c r="D142" s="202"/>
      <c r="E142" s="202"/>
      <c r="F142" s="202"/>
      <c r="G142" s="207"/>
      <c r="H142" s="206"/>
      <c r="I142" s="205"/>
      <c r="J142" s="204"/>
      <c r="K142" s="204"/>
      <c r="L142" s="204"/>
      <c r="P142"/>
    </row>
    <row r="143" spans="2:27" s="6" customFormat="1" ht="15" customHeight="1" outlineLevel="1">
      <c r="B143" s="203" t="s">
        <v>176</v>
      </c>
      <c r="C143" s="65"/>
      <c r="D143" s="65"/>
      <c r="E143" s="65"/>
      <c r="F143" s="472">
        <v>5500</v>
      </c>
      <c r="G143" s="442">
        <v>0</v>
      </c>
      <c r="H143" s="442">
        <v>0</v>
      </c>
      <c r="I143" s="442">
        <v>0</v>
      </c>
      <c r="J143" s="442">
        <v>0</v>
      </c>
      <c r="K143" s="442">
        <v>0</v>
      </c>
      <c r="L143" s="442">
        <v>0</v>
      </c>
      <c r="M143" s="442">
        <v>0</v>
      </c>
      <c r="N143" s="442">
        <v>0</v>
      </c>
      <c r="O143" s="442">
        <v>0</v>
      </c>
      <c r="P143" s="442">
        <v>0</v>
      </c>
      <c r="Q143" s="442">
        <v>0</v>
      </c>
      <c r="R143" s="442">
        <v>0</v>
      </c>
      <c r="S143" s="442">
        <v>0</v>
      </c>
      <c r="T143" s="442">
        <v>0</v>
      </c>
      <c r="U143" s="442">
        <v>0</v>
      </c>
      <c r="V143" s="442">
        <v>0</v>
      </c>
      <c r="W143" s="442">
        <v>0</v>
      </c>
      <c r="X143" s="442">
        <v>0</v>
      </c>
      <c r="Y143" s="442">
        <v>0</v>
      </c>
      <c r="Z143" s="442">
        <v>0</v>
      </c>
      <c r="AA143" s="571">
        <v>0</v>
      </c>
    </row>
    <row r="144" spans="2:27" s="6" customFormat="1" ht="15" customHeight="1" outlineLevel="1">
      <c r="B144" s="203" t="s">
        <v>195</v>
      </c>
      <c r="C144" s="65"/>
      <c r="D144" s="65"/>
      <c r="E144" s="65"/>
      <c r="F144" s="572">
        <v>1500</v>
      </c>
      <c r="G144" s="573">
        <v>1500</v>
      </c>
      <c r="H144" s="573">
        <v>1000</v>
      </c>
      <c r="I144" s="573">
        <v>1000</v>
      </c>
      <c r="J144" s="573">
        <v>500</v>
      </c>
      <c r="K144" s="443">
        <v>0</v>
      </c>
      <c r="L144" s="443">
        <v>0</v>
      </c>
      <c r="M144" s="443">
        <v>0</v>
      </c>
      <c r="N144" s="443">
        <v>0</v>
      </c>
      <c r="O144" s="443">
        <v>0</v>
      </c>
      <c r="P144" s="443">
        <v>0</v>
      </c>
      <c r="Q144" s="443">
        <v>0</v>
      </c>
      <c r="R144" s="443">
        <v>0</v>
      </c>
      <c r="S144" s="443">
        <v>0</v>
      </c>
      <c r="T144" s="443">
        <v>0</v>
      </c>
      <c r="U144" s="443">
        <v>0</v>
      </c>
      <c r="V144" s="443">
        <v>0</v>
      </c>
      <c r="W144" s="443">
        <v>0</v>
      </c>
      <c r="X144" s="443">
        <v>0</v>
      </c>
      <c r="Y144" s="443">
        <v>0</v>
      </c>
      <c r="Z144" s="443">
        <v>0</v>
      </c>
      <c r="AA144" s="574">
        <v>0</v>
      </c>
    </row>
    <row r="145" spans="2:27" s="6" customFormat="1" ht="15" customHeight="1" outlineLevel="1">
      <c r="B145" s="203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P145" s="295"/>
    </row>
    <row r="146" spans="2:27" s="6" customFormat="1" ht="15" customHeight="1" outlineLevel="1">
      <c r="B146" s="203"/>
      <c r="C146" s="65"/>
      <c r="D146" s="65"/>
      <c r="E146" s="65"/>
      <c r="F146" s="65"/>
      <c r="G146" s="128"/>
      <c r="H146" s="128"/>
      <c r="I146" s="128"/>
      <c r="J146" s="128"/>
      <c r="K146" s="128"/>
      <c r="L146" s="128"/>
      <c r="M146" s="128"/>
      <c r="P146"/>
    </row>
    <row r="147" spans="2:27" s="6" customFormat="1" ht="15" customHeight="1" outlineLevel="1">
      <c r="B147" s="203"/>
      <c r="C147" s="65"/>
      <c r="D147" s="65"/>
      <c r="E147" s="65"/>
      <c r="F147" s="441" t="s">
        <v>214</v>
      </c>
      <c r="G147" s="128"/>
      <c r="H147" s="128"/>
      <c r="I147" s="128"/>
      <c r="J147" s="128"/>
      <c r="K147" s="128"/>
      <c r="L147" s="128"/>
      <c r="M147" s="128"/>
      <c r="P147"/>
    </row>
    <row r="148" spans="2:27" s="6" customFormat="1" ht="15" customHeight="1" outlineLevel="1">
      <c r="B148" s="200" t="s">
        <v>213</v>
      </c>
      <c r="C148" s="202"/>
      <c r="D148" s="202"/>
      <c r="E148" s="202"/>
      <c r="F148" s="634" cm="1">
        <f t="array" ref="F148">INDEX(F150:F151,$D$139)</f>
        <v>0.06</v>
      </c>
      <c r="G148" s="128"/>
      <c r="H148" s="444"/>
      <c r="I148" s="444"/>
      <c r="J148" s="444"/>
      <c r="K148" s="444"/>
      <c r="L148" s="444"/>
      <c r="M148" s="444"/>
      <c r="N148" s="444"/>
      <c r="O148" s="444"/>
      <c r="P148" s="444"/>
      <c r="Q148" s="444"/>
      <c r="R148" s="444"/>
      <c r="S148" s="444"/>
      <c r="T148" s="444"/>
      <c r="U148" s="444"/>
      <c r="V148" s="444"/>
      <c r="W148" s="444"/>
      <c r="X148" s="444"/>
      <c r="Y148" s="444"/>
      <c r="Z148" s="444"/>
      <c r="AA148" s="444"/>
    </row>
    <row r="149" spans="2:27" s="6" customFormat="1" ht="15" customHeight="1" outlineLevel="1">
      <c r="B149" s="78"/>
      <c r="C149" s="202"/>
      <c r="D149" s="202"/>
      <c r="E149" s="202"/>
      <c r="F149" s="202"/>
      <c r="G149" s="128"/>
      <c r="H149" s="206"/>
      <c r="I149" s="205"/>
      <c r="J149" s="204"/>
      <c r="K149" s="204"/>
      <c r="L149" s="204"/>
      <c r="P149"/>
    </row>
    <row r="150" spans="2:27" s="6" customFormat="1" ht="15" customHeight="1" outlineLevel="1">
      <c r="B150" s="203" t="s">
        <v>194</v>
      </c>
      <c r="C150" s="65"/>
      <c r="D150" s="65"/>
      <c r="E150" s="65"/>
      <c r="F150" s="635">
        <v>0.05</v>
      </c>
      <c r="G150" s="128"/>
      <c r="H150" s="65"/>
      <c r="I150" s="65"/>
      <c r="J150" s="65"/>
      <c r="K150" s="65"/>
      <c r="L150" s="65"/>
      <c r="M150" s="65"/>
      <c r="P150" s="296"/>
    </row>
    <row r="151" spans="2:27" s="6" customFormat="1" ht="15" customHeight="1" outlineLevel="1">
      <c r="B151" s="203" t="s">
        <v>195</v>
      </c>
      <c r="C151" s="65"/>
      <c r="D151" s="65"/>
      <c r="E151" s="65"/>
      <c r="F151" s="636">
        <v>0.06</v>
      </c>
      <c r="G151" s="128"/>
      <c r="H151" s="65"/>
      <c r="I151" s="65"/>
      <c r="J151" s="65"/>
      <c r="K151" s="65"/>
      <c r="L151" s="65"/>
      <c r="M151" s="65"/>
      <c r="P151"/>
    </row>
    <row r="152" spans="2:27" s="6" customFormat="1" ht="15" customHeight="1" outlineLevel="1">
      <c r="B152" s="203"/>
      <c r="C152" s="65"/>
      <c r="D152" s="65"/>
      <c r="E152" s="65"/>
      <c r="F152" s="65"/>
      <c r="G152" s="128"/>
      <c r="H152" s="128"/>
      <c r="I152" s="128"/>
      <c r="J152" s="128"/>
      <c r="K152" s="128"/>
      <c r="L152" s="128"/>
      <c r="M152" s="128"/>
      <c r="P152"/>
    </row>
    <row r="153" spans="2:27" s="6" customFormat="1" ht="15" customHeight="1" outlineLevel="1">
      <c r="B153" s="203"/>
      <c r="C153" s="65"/>
      <c r="D153" s="65"/>
      <c r="E153" s="65"/>
      <c r="F153" s="65"/>
      <c r="G153" s="65"/>
      <c r="H153" s="128"/>
      <c r="I153" s="128"/>
      <c r="J153" s="128"/>
      <c r="K153" s="128"/>
      <c r="L153" s="128"/>
      <c r="M153" s="128"/>
      <c r="P153"/>
    </row>
    <row r="154" spans="2:27" s="6" customFormat="1" ht="15" customHeight="1" outlineLevel="1">
      <c r="B154" s="130"/>
      <c r="C154" s="130"/>
      <c r="D154" s="130"/>
      <c r="E154" s="130"/>
      <c r="F154" s="130"/>
      <c r="G154" s="130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</row>
    <row r="155" spans="2:27" s="6" customFormat="1" ht="15" customHeight="1">
      <c r="B155" s="65"/>
      <c r="C155" s="65"/>
      <c r="D155" s="65"/>
      <c r="E155" s="65"/>
      <c r="F155" s="65"/>
      <c r="G155" s="65"/>
      <c r="H155" s="128"/>
      <c r="I155" s="128"/>
      <c r="J155" s="128"/>
      <c r="K155" s="128"/>
      <c r="L155" s="128"/>
      <c r="M155" s="128"/>
      <c r="P155"/>
    </row>
    <row r="156" spans="2:27" ht="15" customHeight="1"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</row>
    <row r="157" spans="2:27" ht="15" customHeight="1"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</row>
  </sheetData>
  <sortState xmlns:xlrd2="http://schemas.microsoft.com/office/spreadsheetml/2017/richdata2" ref="L13:L28">
    <sortCondition sortBy="icon" ref="L16:L28"/>
  </sortState>
  <printOptions horizontalCentered="1"/>
  <pageMargins left="0.118110236220472" right="0.118110236220472" top="0.118110236220472" bottom="0.118110236220472" header="0.118110236220472" footer="0.118110236220472"/>
  <pageSetup scale="88" orientation="landscape" r:id="rId1"/>
  <headerFooter scaleWithDoc="0" alignWithMargins="0"/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Drop Down 1">
              <controlPr defaultSize="0" autoLine="0" autoPict="0">
                <anchor moveWithCells="1" sizeWithCells="1">
                  <from>
                    <xdr:col>2</xdr:col>
                    <xdr:colOff>482600</xdr:colOff>
                    <xdr:row>85</xdr:row>
                    <xdr:rowOff>12700</xdr:rowOff>
                  </from>
                  <to>
                    <xdr:col>3</xdr:col>
                    <xdr:colOff>749300</xdr:colOff>
                    <xdr:row>86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Drop Down 6">
              <controlPr defaultSize="0" autoLine="0" autoPict="0">
                <anchor moveWithCells="1" sizeWithCells="1">
                  <from>
                    <xdr:col>2</xdr:col>
                    <xdr:colOff>279400</xdr:colOff>
                    <xdr:row>137</xdr:row>
                    <xdr:rowOff>177800</xdr:rowOff>
                  </from>
                  <to>
                    <xdr:col>4</xdr:col>
                    <xdr:colOff>546100</xdr:colOff>
                    <xdr:row>138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693-2F66-463C-899F-3DA57946A8A2}">
  <sheetPr>
    <pageSetUpPr autoPageBreaks="0"/>
  </sheetPr>
  <dimension ref="A1:AB308"/>
  <sheetViews>
    <sheetView showGridLines="0" topLeftCell="J1" zoomScaleNormal="100" zoomScaleSheetLayoutView="140" workbookViewId="0">
      <pane ySplit="1" topLeftCell="A195" activePane="bottomLeft" state="frozen"/>
      <selection activeCell="A3" sqref="A3"/>
      <selection pane="bottomLeft" activeCell="V204" sqref="V204"/>
    </sheetView>
  </sheetViews>
  <sheetFormatPr baseColWidth="10" defaultColWidth="9.1640625" defaultRowHeight="15" customHeight="1" outlineLevelRow="1"/>
  <cols>
    <col min="1" max="1" width="8.6640625" style="8" customWidth="1"/>
    <col min="2" max="2" width="17.6640625" style="8" customWidth="1"/>
    <col min="3" max="3" width="11.33203125" style="8" customWidth="1"/>
    <col min="4" max="4" width="15.6640625" style="8" customWidth="1"/>
    <col min="5" max="5" width="1.6640625" style="8" customWidth="1"/>
    <col min="6" max="15" width="10.33203125" style="8" customWidth="1"/>
    <col min="16" max="20" width="9.6640625" style="8" bestFit="1" customWidth="1"/>
    <col min="21" max="27" width="9.33203125" style="8" bestFit="1" customWidth="1"/>
    <col min="28" max="16384" width="9.1640625" style="8"/>
  </cols>
  <sheetData>
    <row r="1" spans="1:27" s="293" customFormat="1" ht="50" customHeight="1">
      <c r="A1" s="291"/>
      <c r="B1" s="353" t="s">
        <v>1</v>
      </c>
      <c r="C1" s="291"/>
      <c r="D1" s="291"/>
      <c r="E1" s="292"/>
      <c r="F1" s="292"/>
      <c r="G1" s="292"/>
      <c r="H1" s="292"/>
      <c r="I1" s="292"/>
      <c r="J1" s="292"/>
      <c r="K1" s="292"/>
      <c r="L1" s="292"/>
      <c r="M1" s="292"/>
      <c r="N1" s="292"/>
    </row>
    <row r="2" spans="1:27" ht="15" customHeight="1">
      <c r="A2" s="115"/>
      <c r="B2" s="290"/>
      <c r="C2" s="289"/>
      <c r="D2" s="288"/>
      <c r="E2" s="288"/>
      <c r="F2" s="287"/>
      <c r="G2" s="287"/>
      <c r="H2" s="287"/>
      <c r="I2" s="287"/>
      <c r="J2" s="287"/>
      <c r="K2" s="287"/>
      <c r="L2" s="287"/>
      <c r="M2" s="287"/>
      <c r="N2" s="287"/>
      <c r="O2" s="62"/>
    </row>
    <row r="3" spans="1:27" ht="15" customHeight="1">
      <c r="A3" s="115" t="s">
        <v>0</v>
      </c>
      <c r="B3" s="108" t="s">
        <v>103</v>
      </c>
      <c r="C3" s="107"/>
      <c r="D3" s="106"/>
      <c r="E3" s="106"/>
      <c r="F3" s="105"/>
      <c r="G3" s="105"/>
      <c r="H3" s="105"/>
      <c r="I3" s="105"/>
      <c r="J3" s="105"/>
      <c r="K3" s="105"/>
      <c r="L3" s="105"/>
      <c r="M3" s="10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</row>
    <row r="4" spans="1:27" ht="15" customHeight="1" outlineLevel="1">
      <c r="A4" s="116"/>
      <c r="B4" s="193"/>
      <c r="C4" s="104"/>
      <c r="D4" s="103"/>
      <c r="E4" s="103"/>
      <c r="F4" s="102"/>
      <c r="G4" s="102"/>
      <c r="H4" s="102"/>
      <c r="I4" s="102"/>
      <c r="J4" s="102"/>
      <c r="K4" s="102"/>
      <c r="L4" s="102"/>
      <c r="M4" s="102"/>
      <c r="N4" s="312"/>
    </row>
    <row r="5" spans="1:27" s="303" customFormat="1" ht="15" customHeight="1" outlineLevel="1">
      <c r="A5" s="301"/>
      <c r="B5" s="86" t="s">
        <v>134</v>
      </c>
      <c r="C5" s="302"/>
      <c r="D5" s="302"/>
      <c r="E5" s="302"/>
      <c r="F5" s="313"/>
      <c r="G5" s="313"/>
      <c r="H5" s="313" t="s">
        <v>135</v>
      </c>
      <c r="I5" s="313"/>
      <c r="J5" s="313"/>
      <c r="K5" s="313" t="s">
        <v>136</v>
      </c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</row>
    <row r="6" spans="1:27" ht="15" customHeight="1" outlineLevel="1" thickBot="1">
      <c r="A6" s="115"/>
      <c r="B6" s="86" t="str" cm="1">
        <f t="array" ref="B6">CONCATENATE("Model Drivers: ",INDEX(Inputs!$B$96:$B$98,Inputs!$D$86)," &amp; ",INDEX(Inputs!$B$143:$B$144,Inputs!$D$139)," Financing")</f>
        <v>Model Drivers: Base Case &amp; Two Phased  Financing</v>
      </c>
      <c r="C6" s="104"/>
      <c r="D6" s="96"/>
      <c r="E6" s="96"/>
      <c r="F6" s="245">
        <v>2025</v>
      </c>
      <c r="G6" s="245">
        <v>2026</v>
      </c>
      <c r="H6" s="316">
        <f>Inputs!$F$8</f>
        <v>2027</v>
      </c>
      <c r="I6" s="316">
        <f>H6+1</f>
        <v>2028</v>
      </c>
      <c r="J6" s="316">
        <f t="shared" ref="J6" si="0">I6+1</f>
        <v>2029</v>
      </c>
      <c r="K6" s="317">
        <f t="shared" ref="K6" si="1">J6+1</f>
        <v>2030</v>
      </c>
      <c r="L6" s="317">
        <f t="shared" ref="L6" si="2">K6+1</f>
        <v>2031</v>
      </c>
      <c r="M6" s="317">
        <f t="shared" ref="M6" si="3">L6+1</f>
        <v>2032</v>
      </c>
      <c r="N6" s="317">
        <f t="shared" ref="N6" si="4">M6+1</f>
        <v>2033</v>
      </c>
      <c r="O6" s="317">
        <f t="shared" ref="O6" si="5">N6+1</f>
        <v>2034</v>
      </c>
      <c r="P6" s="317">
        <f t="shared" ref="P6" si="6">O6+1</f>
        <v>2035</v>
      </c>
      <c r="Q6" s="317">
        <f t="shared" ref="Q6" si="7">P6+1</f>
        <v>2036</v>
      </c>
      <c r="R6" s="317">
        <f t="shared" ref="R6" si="8">Q6+1</f>
        <v>2037</v>
      </c>
      <c r="S6" s="317">
        <f t="shared" ref="S6" si="9">R6+1</f>
        <v>2038</v>
      </c>
      <c r="T6" s="317">
        <f t="shared" ref="T6" si="10">S6+1</f>
        <v>2039</v>
      </c>
      <c r="U6" s="317">
        <f t="shared" ref="U6" si="11">T6+1</f>
        <v>2040</v>
      </c>
      <c r="V6" s="317">
        <f>U6+1</f>
        <v>2041</v>
      </c>
      <c r="W6" s="317">
        <f t="shared" ref="W6" si="12">V6+1</f>
        <v>2042</v>
      </c>
      <c r="X6" s="317">
        <f t="shared" ref="X6" si="13">W6+1</f>
        <v>2043</v>
      </c>
      <c r="Y6" s="317">
        <f t="shared" ref="Y6" si="14">X6+1</f>
        <v>2044</v>
      </c>
      <c r="Z6" s="317">
        <f t="shared" ref="Z6" si="15">Y6+1</f>
        <v>2045</v>
      </c>
      <c r="AA6" s="317">
        <f t="shared" ref="AA6" si="16">Z6+1</f>
        <v>2046</v>
      </c>
    </row>
    <row r="7" spans="1:27" ht="15" customHeight="1" outlineLevel="1">
      <c r="A7" s="115"/>
      <c r="C7" s="104"/>
      <c r="D7" s="96"/>
      <c r="E7" s="96"/>
      <c r="F7" s="96"/>
      <c r="G7" s="96"/>
      <c r="H7" s="96"/>
      <c r="I7" s="100"/>
      <c r="J7" s="100"/>
      <c r="K7" s="100"/>
      <c r="L7" s="100"/>
      <c r="M7" s="100"/>
      <c r="N7" s="100"/>
    </row>
    <row r="8" spans="1:27" s="66" customFormat="1" ht="15" customHeight="1" outlineLevel="1">
      <c r="B8" s="78" t="s">
        <v>109</v>
      </c>
      <c r="C8" s="72"/>
      <c r="D8" s="261"/>
      <c r="E8" s="133"/>
      <c r="F8" s="310"/>
      <c r="G8" s="148"/>
      <c r="H8" s="148"/>
      <c r="I8" s="95"/>
      <c r="J8" s="95"/>
      <c r="K8" s="95"/>
      <c r="L8" s="95"/>
      <c r="M8" s="95"/>
      <c r="N8" s="232"/>
    </row>
    <row r="9" spans="1:27" ht="15" customHeight="1" outlineLevel="1">
      <c r="A9" s="95"/>
      <c r="B9" s="132" t="s">
        <v>115</v>
      </c>
      <c r="C9" s="104"/>
      <c r="D9" s="261" t="s">
        <v>116</v>
      </c>
      <c r="E9" s="96"/>
      <c r="F9" s="305"/>
      <c r="G9" s="305"/>
      <c r="H9" s="305">
        <f>Inputs!$F$9</f>
        <v>2.5</v>
      </c>
      <c r="I9" s="305">
        <f>Inputs!$F$9</f>
        <v>2.5</v>
      </c>
      <c r="J9" s="305">
        <f>Inputs!$F$9</f>
        <v>2.5</v>
      </c>
      <c r="K9" s="322">
        <f>Inputs!$F$9</f>
        <v>2.5</v>
      </c>
      <c r="L9" s="305">
        <f>Inputs!$F$9</f>
        <v>2.5</v>
      </c>
      <c r="M9" s="305">
        <f>Inputs!$F$9</f>
        <v>2.5</v>
      </c>
      <c r="N9" s="305">
        <f>Inputs!$F$9</f>
        <v>2.5</v>
      </c>
      <c r="O9" s="305">
        <f>Inputs!$F$9</f>
        <v>2.5</v>
      </c>
      <c r="P9" s="305">
        <f>Inputs!$F$9</f>
        <v>2.5</v>
      </c>
      <c r="Q9" s="305">
        <f>Inputs!$F$9</f>
        <v>2.5</v>
      </c>
      <c r="R9" s="305">
        <f>Inputs!$F$9</f>
        <v>2.5</v>
      </c>
      <c r="S9" s="305">
        <f>Inputs!$F$9</f>
        <v>2.5</v>
      </c>
      <c r="T9" s="305">
        <f>Inputs!$F$9</f>
        <v>2.5</v>
      </c>
      <c r="U9" s="305">
        <f>Inputs!$F$9</f>
        <v>2.5</v>
      </c>
      <c r="V9" s="305">
        <f>Inputs!$F$9</f>
        <v>2.5</v>
      </c>
      <c r="W9" s="305">
        <f>Inputs!$F$9</f>
        <v>2.5</v>
      </c>
      <c r="X9" s="305">
        <f>Inputs!$F$9</f>
        <v>2.5</v>
      </c>
      <c r="Y9" s="305">
        <f>Inputs!$F$9</f>
        <v>2.5</v>
      </c>
      <c r="Z9" s="305">
        <f>Inputs!$F$9</f>
        <v>2.5</v>
      </c>
      <c r="AA9" s="305">
        <f>Inputs!$F$9</f>
        <v>2.5</v>
      </c>
    </row>
    <row r="10" spans="1:27" s="66" customFormat="1" ht="15" customHeight="1" outlineLevel="1">
      <c r="B10" s="132" t="s">
        <v>118</v>
      </c>
      <c r="C10" s="72"/>
      <c r="D10" s="261" t="s">
        <v>116</v>
      </c>
      <c r="E10" s="133"/>
      <c r="F10" s="305"/>
      <c r="G10" s="305"/>
      <c r="H10" s="305">
        <v>0</v>
      </c>
      <c r="I10" s="305">
        <v>0</v>
      </c>
      <c r="J10" s="305">
        <v>0</v>
      </c>
      <c r="K10" s="322">
        <v>2.5</v>
      </c>
      <c r="L10" s="305">
        <v>2.5</v>
      </c>
      <c r="M10" s="305">
        <v>2.5</v>
      </c>
      <c r="N10" s="305">
        <v>2.5</v>
      </c>
      <c r="O10" s="305">
        <v>2.5</v>
      </c>
      <c r="P10" s="305">
        <v>2.5</v>
      </c>
      <c r="Q10" s="305">
        <v>2.5</v>
      </c>
      <c r="R10" s="305">
        <v>2.5</v>
      </c>
      <c r="S10" s="305">
        <v>2.5</v>
      </c>
      <c r="T10" s="305">
        <v>2.5</v>
      </c>
      <c r="U10" s="305">
        <v>2.5</v>
      </c>
      <c r="V10" s="305">
        <v>2.5</v>
      </c>
      <c r="W10" s="305">
        <v>2.5</v>
      </c>
      <c r="X10" s="305">
        <v>2.5</v>
      </c>
      <c r="Y10" s="305">
        <v>2.5</v>
      </c>
      <c r="Z10" s="305">
        <v>2.5</v>
      </c>
      <c r="AA10" s="305">
        <v>2.5</v>
      </c>
    </row>
    <row r="11" spans="1:27" s="66" customFormat="1" ht="15" customHeight="1" outlineLevel="1">
      <c r="B11" s="132" t="s">
        <v>110</v>
      </c>
      <c r="C11" s="104"/>
      <c r="D11" s="261" t="s">
        <v>116</v>
      </c>
      <c r="E11" s="96"/>
      <c r="F11" s="304"/>
      <c r="G11" s="304"/>
      <c r="H11" s="306">
        <f t="shared" ref="H11:X11" si="17">SUM(H9:H10)</f>
        <v>2.5</v>
      </c>
      <c r="I11" s="306">
        <f t="shared" si="17"/>
        <v>2.5</v>
      </c>
      <c r="J11" s="306">
        <v>0</v>
      </c>
      <c r="K11" s="323">
        <f t="shared" si="17"/>
        <v>5</v>
      </c>
      <c r="L11" s="306">
        <f t="shared" si="17"/>
        <v>5</v>
      </c>
      <c r="M11" s="306">
        <f t="shared" si="17"/>
        <v>5</v>
      </c>
      <c r="N11" s="306">
        <f t="shared" si="17"/>
        <v>5</v>
      </c>
      <c r="O11" s="306">
        <f t="shared" si="17"/>
        <v>5</v>
      </c>
      <c r="P11" s="306">
        <f t="shared" si="17"/>
        <v>5</v>
      </c>
      <c r="Q11" s="306">
        <f t="shared" si="17"/>
        <v>5</v>
      </c>
      <c r="R11" s="306">
        <f t="shared" si="17"/>
        <v>5</v>
      </c>
      <c r="S11" s="306">
        <f t="shared" si="17"/>
        <v>5</v>
      </c>
      <c r="T11" s="306">
        <f t="shared" si="17"/>
        <v>5</v>
      </c>
      <c r="U11" s="306">
        <f t="shared" si="17"/>
        <v>5</v>
      </c>
      <c r="V11" s="306">
        <f t="shared" si="17"/>
        <v>5</v>
      </c>
      <c r="W11" s="306">
        <f t="shared" si="17"/>
        <v>5</v>
      </c>
      <c r="X11" s="306">
        <f t="shared" si="17"/>
        <v>5</v>
      </c>
      <c r="Y11" s="306">
        <f t="shared" ref="Y11:AA11" si="18">SUM(Y9:Y10)</f>
        <v>5</v>
      </c>
      <c r="Z11" s="306">
        <f t="shared" si="18"/>
        <v>5</v>
      </c>
      <c r="AA11" s="306">
        <f t="shared" si="18"/>
        <v>5</v>
      </c>
    </row>
    <row r="12" spans="1:27" ht="15" customHeight="1" outlineLevel="1">
      <c r="A12" s="95"/>
      <c r="C12" s="104"/>
      <c r="D12" s="261"/>
      <c r="E12" s="96"/>
      <c r="F12" s="90"/>
      <c r="G12" s="90"/>
      <c r="H12" s="90"/>
      <c r="I12" s="90"/>
      <c r="J12" s="90"/>
      <c r="K12" s="90"/>
      <c r="L12" s="90"/>
      <c r="M12" s="90"/>
      <c r="N12" s="90"/>
    </row>
    <row r="13" spans="1:27" s="66" customFormat="1" ht="15" customHeight="1" outlineLevel="1">
      <c r="B13" s="78" t="s">
        <v>111</v>
      </c>
      <c r="C13" s="72"/>
      <c r="D13" s="261"/>
      <c r="E13" s="133"/>
      <c r="F13" s="148"/>
      <c r="G13" s="148"/>
      <c r="H13" s="148"/>
      <c r="I13" s="148"/>
      <c r="J13" s="148"/>
      <c r="K13" s="148"/>
      <c r="L13" s="148"/>
      <c r="M13" s="148"/>
      <c r="N13" s="148"/>
    </row>
    <row r="14" spans="1:27" ht="15" customHeight="1" outlineLevel="1">
      <c r="A14" s="95"/>
      <c r="B14" s="132" t="s">
        <v>113</v>
      </c>
      <c r="C14" s="104"/>
      <c r="D14" s="261" t="s">
        <v>112</v>
      </c>
      <c r="E14" s="96"/>
      <c r="F14" s="90"/>
      <c r="G14" s="90"/>
      <c r="H14" s="307">
        <v>0.7</v>
      </c>
      <c r="I14" s="307">
        <v>0.85</v>
      </c>
      <c r="J14" s="307">
        <v>1</v>
      </c>
      <c r="K14" s="324">
        <v>1</v>
      </c>
      <c r="L14" s="307">
        <v>1</v>
      </c>
      <c r="M14" s="307">
        <v>1</v>
      </c>
      <c r="N14" s="307">
        <v>1</v>
      </c>
      <c r="O14" s="307">
        <v>1</v>
      </c>
      <c r="P14" s="307">
        <v>1</v>
      </c>
      <c r="Q14" s="307">
        <v>1</v>
      </c>
      <c r="R14" s="307">
        <v>1</v>
      </c>
      <c r="S14" s="307">
        <v>1</v>
      </c>
      <c r="T14" s="307">
        <v>1</v>
      </c>
      <c r="U14" s="307">
        <v>1</v>
      </c>
      <c r="V14" s="307">
        <v>1</v>
      </c>
      <c r="W14" s="307">
        <v>1</v>
      </c>
      <c r="X14" s="307">
        <v>1</v>
      </c>
      <c r="Y14" s="307">
        <v>1</v>
      </c>
      <c r="Z14" s="307">
        <v>1</v>
      </c>
      <c r="AA14" s="307">
        <v>1</v>
      </c>
    </row>
    <row r="15" spans="1:27" ht="15" customHeight="1" outlineLevel="1">
      <c r="A15" s="95"/>
      <c r="B15" s="132" t="s">
        <v>114</v>
      </c>
      <c r="C15" s="104"/>
      <c r="D15" s="261" t="s">
        <v>112</v>
      </c>
      <c r="E15" s="96"/>
      <c r="F15" s="90"/>
      <c r="G15" s="90"/>
      <c r="H15" s="90">
        <v>0</v>
      </c>
      <c r="I15" s="90">
        <v>0</v>
      </c>
      <c r="J15" s="90">
        <v>0</v>
      </c>
      <c r="K15" s="324">
        <v>0.7</v>
      </c>
      <c r="L15" s="307">
        <v>0.85</v>
      </c>
      <c r="M15" s="307">
        <v>1</v>
      </c>
      <c r="N15" s="307">
        <v>1</v>
      </c>
      <c r="O15" s="307">
        <v>1</v>
      </c>
      <c r="P15" s="307">
        <v>1</v>
      </c>
      <c r="Q15" s="307">
        <v>1</v>
      </c>
      <c r="R15" s="307">
        <v>1</v>
      </c>
      <c r="S15" s="307">
        <v>1</v>
      </c>
      <c r="T15" s="307">
        <v>1</v>
      </c>
      <c r="U15" s="307">
        <v>1</v>
      </c>
      <c r="V15" s="307">
        <v>1</v>
      </c>
      <c r="W15" s="307">
        <v>1</v>
      </c>
      <c r="X15" s="307">
        <v>1</v>
      </c>
      <c r="Y15" s="307">
        <v>1</v>
      </c>
      <c r="Z15" s="307">
        <v>1</v>
      </c>
      <c r="AA15" s="307">
        <v>1</v>
      </c>
    </row>
    <row r="16" spans="1:27" ht="15" customHeight="1" outlineLevel="1">
      <c r="A16" s="95"/>
      <c r="B16" s="132" t="s">
        <v>124</v>
      </c>
      <c r="C16" s="104"/>
      <c r="D16" s="261"/>
      <c r="E16" s="96"/>
      <c r="F16" s="311"/>
      <c r="G16" s="311"/>
      <c r="H16" s="308">
        <f t="shared" ref="H16:X16" si="19">AVERAGE(H14:H15)</f>
        <v>0.35</v>
      </c>
      <c r="I16" s="308">
        <f t="shared" si="19"/>
        <v>0.42499999999999999</v>
      </c>
      <c r="J16" s="308">
        <f t="shared" si="19"/>
        <v>0.5</v>
      </c>
      <c r="K16" s="325">
        <f t="shared" si="19"/>
        <v>0.85</v>
      </c>
      <c r="L16" s="308">
        <f t="shared" si="19"/>
        <v>0.92500000000000004</v>
      </c>
      <c r="M16" s="308">
        <f t="shared" si="19"/>
        <v>1</v>
      </c>
      <c r="N16" s="308">
        <f t="shared" si="19"/>
        <v>1</v>
      </c>
      <c r="O16" s="308">
        <f t="shared" si="19"/>
        <v>1</v>
      </c>
      <c r="P16" s="308">
        <f t="shared" si="19"/>
        <v>1</v>
      </c>
      <c r="Q16" s="308">
        <f t="shared" si="19"/>
        <v>1</v>
      </c>
      <c r="R16" s="308">
        <f t="shared" si="19"/>
        <v>1</v>
      </c>
      <c r="S16" s="308">
        <f t="shared" si="19"/>
        <v>1</v>
      </c>
      <c r="T16" s="308">
        <f t="shared" si="19"/>
        <v>1</v>
      </c>
      <c r="U16" s="308">
        <f t="shared" si="19"/>
        <v>1</v>
      </c>
      <c r="V16" s="308">
        <f t="shared" si="19"/>
        <v>1</v>
      </c>
      <c r="W16" s="308">
        <f t="shared" si="19"/>
        <v>1</v>
      </c>
      <c r="X16" s="308">
        <f t="shared" si="19"/>
        <v>1</v>
      </c>
      <c r="Y16" s="308">
        <f t="shared" ref="Y16:AA16" si="20">AVERAGE(Y14:Y15)</f>
        <v>1</v>
      </c>
      <c r="Z16" s="308">
        <f t="shared" si="20"/>
        <v>1</v>
      </c>
      <c r="AA16" s="308">
        <f t="shared" si="20"/>
        <v>1</v>
      </c>
    </row>
    <row r="17" spans="1:27" ht="15" customHeight="1" outlineLevel="1">
      <c r="A17" s="95"/>
      <c r="B17" s="132"/>
      <c r="C17" s="104"/>
      <c r="D17" s="261"/>
      <c r="E17" s="96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307"/>
      <c r="T17" s="307"/>
      <c r="U17" s="307"/>
      <c r="V17" s="307"/>
      <c r="W17" s="307"/>
      <c r="X17" s="307"/>
    </row>
    <row r="18" spans="1:27" ht="15" customHeight="1" outlineLevel="1">
      <c r="A18" s="95"/>
      <c r="B18" s="78" t="s">
        <v>119</v>
      </c>
      <c r="C18" s="104"/>
      <c r="D18" s="261"/>
      <c r="E18" s="96"/>
      <c r="F18" s="90"/>
      <c r="G18" s="90"/>
      <c r="H18" s="90"/>
      <c r="I18" s="90"/>
      <c r="J18" s="90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</row>
    <row r="19" spans="1:27" ht="15" customHeight="1" outlineLevel="1">
      <c r="A19" s="95"/>
      <c r="B19" s="132" t="s">
        <v>120</v>
      </c>
      <c r="C19" s="104"/>
      <c r="D19" s="261" t="s">
        <v>116</v>
      </c>
      <c r="E19" s="96"/>
      <c r="F19" s="304"/>
      <c r="G19" s="304"/>
      <c r="H19" s="151">
        <f t="shared" ref="H19:X19" si="21">H9*H14</f>
        <v>1.75</v>
      </c>
      <c r="I19" s="151">
        <f t="shared" si="21"/>
        <v>2.125</v>
      </c>
      <c r="J19" s="151">
        <f t="shared" si="21"/>
        <v>2.5</v>
      </c>
      <c r="K19" s="326">
        <f t="shared" si="21"/>
        <v>2.5</v>
      </c>
      <c r="L19" s="151">
        <f t="shared" si="21"/>
        <v>2.5</v>
      </c>
      <c r="M19" s="151">
        <f t="shared" si="21"/>
        <v>2.5</v>
      </c>
      <c r="N19" s="151">
        <f t="shared" si="21"/>
        <v>2.5</v>
      </c>
      <c r="O19" s="151">
        <f t="shared" si="21"/>
        <v>2.5</v>
      </c>
      <c r="P19" s="151">
        <f t="shared" si="21"/>
        <v>2.5</v>
      </c>
      <c r="Q19" s="151">
        <f t="shared" si="21"/>
        <v>2.5</v>
      </c>
      <c r="R19" s="151">
        <f t="shared" si="21"/>
        <v>2.5</v>
      </c>
      <c r="S19" s="151">
        <f t="shared" si="21"/>
        <v>2.5</v>
      </c>
      <c r="T19" s="151">
        <f t="shared" si="21"/>
        <v>2.5</v>
      </c>
      <c r="U19" s="151">
        <f t="shared" si="21"/>
        <v>2.5</v>
      </c>
      <c r="V19" s="151">
        <f t="shared" si="21"/>
        <v>2.5</v>
      </c>
      <c r="W19" s="151">
        <f t="shared" si="21"/>
        <v>2.5</v>
      </c>
      <c r="X19" s="151">
        <f t="shared" si="21"/>
        <v>2.5</v>
      </c>
      <c r="Y19" s="151">
        <f t="shared" ref="Y19:AA19" si="22">Y9*Y14</f>
        <v>2.5</v>
      </c>
      <c r="Z19" s="151">
        <f t="shared" si="22"/>
        <v>2.5</v>
      </c>
      <c r="AA19" s="151">
        <f t="shared" si="22"/>
        <v>2.5</v>
      </c>
    </row>
    <row r="20" spans="1:27" ht="15" customHeight="1" outlineLevel="1">
      <c r="A20" s="95"/>
      <c r="B20" s="132" t="s">
        <v>121</v>
      </c>
      <c r="C20" s="104"/>
      <c r="D20" s="261" t="s">
        <v>116</v>
      </c>
      <c r="E20" s="96"/>
      <c r="F20" s="304"/>
      <c r="G20" s="304"/>
      <c r="H20" s="151">
        <f t="shared" ref="H20:X20" si="23">H10*H15</f>
        <v>0</v>
      </c>
      <c r="I20" s="151">
        <f t="shared" si="23"/>
        <v>0</v>
      </c>
      <c r="J20" s="151">
        <f t="shared" si="23"/>
        <v>0</v>
      </c>
      <c r="K20" s="326">
        <f t="shared" si="23"/>
        <v>1.75</v>
      </c>
      <c r="L20" s="151">
        <f t="shared" si="23"/>
        <v>2.125</v>
      </c>
      <c r="M20" s="151">
        <f t="shared" si="23"/>
        <v>2.5</v>
      </c>
      <c r="N20" s="151">
        <f t="shared" si="23"/>
        <v>2.5</v>
      </c>
      <c r="O20" s="151">
        <f t="shared" si="23"/>
        <v>2.5</v>
      </c>
      <c r="P20" s="151">
        <f t="shared" si="23"/>
        <v>2.5</v>
      </c>
      <c r="Q20" s="151">
        <f t="shared" si="23"/>
        <v>2.5</v>
      </c>
      <c r="R20" s="151">
        <f t="shared" si="23"/>
        <v>2.5</v>
      </c>
      <c r="S20" s="151">
        <f t="shared" si="23"/>
        <v>2.5</v>
      </c>
      <c r="T20" s="151">
        <f t="shared" si="23"/>
        <v>2.5</v>
      </c>
      <c r="U20" s="151">
        <f t="shared" si="23"/>
        <v>2.5</v>
      </c>
      <c r="V20" s="151">
        <f t="shared" si="23"/>
        <v>2.5</v>
      </c>
      <c r="W20" s="151">
        <f t="shared" si="23"/>
        <v>2.5</v>
      </c>
      <c r="X20" s="151">
        <f t="shared" si="23"/>
        <v>2.5</v>
      </c>
      <c r="Y20" s="151">
        <f t="shared" ref="Y20:AA20" si="24">Y10*Y15</f>
        <v>2.5</v>
      </c>
      <c r="Z20" s="151">
        <f t="shared" si="24"/>
        <v>2.5</v>
      </c>
      <c r="AA20" s="151">
        <f t="shared" si="24"/>
        <v>2.5</v>
      </c>
    </row>
    <row r="21" spans="1:27" ht="15" customHeight="1" outlineLevel="1">
      <c r="A21" s="95"/>
      <c r="B21" s="132" t="s">
        <v>117</v>
      </c>
      <c r="C21" s="104"/>
      <c r="D21" s="261" t="s">
        <v>116</v>
      </c>
      <c r="E21" s="96"/>
      <c r="F21" s="304"/>
      <c r="G21" s="304"/>
      <c r="H21" s="315">
        <f>SUM(H19:H20)</f>
        <v>1.75</v>
      </c>
      <c r="I21" s="315">
        <f t="shared" ref="I21:X21" si="25">SUM(I19:I20)</f>
        <v>2.125</v>
      </c>
      <c r="J21" s="315">
        <f t="shared" si="25"/>
        <v>2.5</v>
      </c>
      <c r="K21" s="327">
        <f t="shared" si="25"/>
        <v>4.25</v>
      </c>
      <c r="L21" s="315">
        <f t="shared" si="25"/>
        <v>4.625</v>
      </c>
      <c r="M21" s="315">
        <f t="shared" si="25"/>
        <v>5</v>
      </c>
      <c r="N21" s="315">
        <f t="shared" si="25"/>
        <v>5</v>
      </c>
      <c r="O21" s="315">
        <f t="shared" si="25"/>
        <v>5</v>
      </c>
      <c r="P21" s="315">
        <f t="shared" si="25"/>
        <v>5</v>
      </c>
      <c r="Q21" s="315">
        <f t="shared" si="25"/>
        <v>5</v>
      </c>
      <c r="R21" s="315">
        <f t="shared" si="25"/>
        <v>5</v>
      </c>
      <c r="S21" s="315">
        <f t="shared" si="25"/>
        <v>5</v>
      </c>
      <c r="T21" s="315">
        <f t="shared" si="25"/>
        <v>5</v>
      </c>
      <c r="U21" s="315">
        <f t="shared" si="25"/>
        <v>5</v>
      </c>
      <c r="V21" s="315">
        <f t="shared" si="25"/>
        <v>5</v>
      </c>
      <c r="W21" s="315">
        <f t="shared" si="25"/>
        <v>5</v>
      </c>
      <c r="X21" s="315">
        <f t="shared" si="25"/>
        <v>5</v>
      </c>
      <c r="Y21" s="315">
        <f t="shared" ref="Y21:AA21" si="26">SUM(Y19:Y20)</f>
        <v>5</v>
      </c>
      <c r="Z21" s="315">
        <f t="shared" si="26"/>
        <v>5</v>
      </c>
      <c r="AA21" s="315">
        <f t="shared" si="26"/>
        <v>5</v>
      </c>
    </row>
    <row r="22" spans="1:27" ht="15" customHeight="1" outlineLevel="1">
      <c r="A22" s="95"/>
      <c r="B22" s="132"/>
      <c r="C22" s="104"/>
      <c r="D22" s="261"/>
      <c r="E22" s="96"/>
      <c r="F22" s="90"/>
      <c r="G22" s="90"/>
      <c r="H22" s="90"/>
      <c r="I22" s="90"/>
      <c r="J22" s="90"/>
      <c r="K22" s="90"/>
      <c r="L22" s="90"/>
      <c r="M22" s="66"/>
      <c r="N22" s="66"/>
      <c r="O22" s="66"/>
    </row>
    <row r="23" spans="1:27" s="66" customFormat="1" ht="15" customHeight="1" outlineLevel="1">
      <c r="B23" s="78" t="s">
        <v>102</v>
      </c>
      <c r="C23" s="72"/>
      <c r="D23" s="261"/>
      <c r="E23" s="261"/>
      <c r="F23" s="261"/>
      <c r="G23" s="261"/>
      <c r="H23" s="261"/>
      <c r="I23" s="261"/>
      <c r="J23" s="261"/>
      <c r="K23" s="261"/>
      <c r="L23" s="261"/>
    </row>
    <row r="24" spans="1:27" ht="15" customHeight="1" outlineLevel="1">
      <c r="A24" s="95"/>
      <c r="B24" s="132" t="s">
        <v>255</v>
      </c>
      <c r="C24" s="104"/>
      <c r="D24" s="261" t="s">
        <v>127</v>
      </c>
      <c r="E24" s="96"/>
      <c r="F24" s="304"/>
      <c r="G24" s="304"/>
      <c r="H24" s="90">
        <f>Inputs!H$91</f>
        <v>865.94572799999992</v>
      </c>
      <c r="I24" s="90">
        <f>Inputs!I$91</f>
        <v>883.26464255999997</v>
      </c>
      <c r="J24" s="90">
        <f>Inputs!J$91</f>
        <v>900.92993541119995</v>
      </c>
      <c r="K24" s="90">
        <f>Inputs!K$91</f>
        <v>918.0476041840127</v>
      </c>
      <c r="L24" s="90">
        <f>Inputs!L$91</f>
        <v>935.49050866350888</v>
      </c>
      <c r="M24" s="90">
        <f>Inputs!M$91</f>
        <v>953.26482832811541</v>
      </c>
      <c r="N24" s="90">
        <f>Inputs!N$91</f>
        <v>971.37686006634954</v>
      </c>
      <c r="O24" s="90">
        <f>Inputs!O$91</f>
        <v>988.86164354754385</v>
      </c>
      <c r="P24" s="90">
        <f>Inputs!P$91</f>
        <v>1006.6611531313996</v>
      </c>
      <c r="Q24" s="90">
        <f>Inputs!Q$91</f>
        <v>1024.7810538877648</v>
      </c>
      <c r="R24" s="90">
        <f>Inputs!R$91</f>
        <v>1042.2023318038566</v>
      </c>
      <c r="S24" s="90">
        <f>Inputs!S$91</f>
        <v>1058.8775691127184</v>
      </c>
      <c r="T24" s="90">
        <f>Inputs!T$91</f>
        <v>1075.819610218522</v>
      </c>
      <c r="U24" s="90">
        <f>Inputs!U$91</f>
        <v>1093.0327239820183</v>
      </c>
      <c r="V24" s="90">
        <f>Inputs!V$91</f>
        <v>1110.5212475657306</v>
      </c>
      <c r="W24" s="90">
        <f>Inputs!W$91</f>
        <v>1128.2895875267823</v>
      </c>
      <c r="X24" s="90">
        <f>Inputs!X$91</f>
        <v>1146.3422209272107</v>
      </c>
      <c r="Y24" s="90">
        <f>Inputs!Y$91</f>
        <v>1164.6836964620461</v>
      </c>
      <c r="Z24" s="90">
        <f>Inputs!Z$91</f>
        <v>1183.3186356054389</v>
      </c>
      <c r="AA24" s="90">
        <f>Inputs!AA$91</f>
        <v>1202.251733775126</v>
      </c>
    </row>
    <row r="25" spans="1:27" ht="15" customHeight="1" outlineLevel="1">
      <c r="A25" s="95"/>
      <c r="B25" s="132" t="s">
        <v>264</v>
      </c>
      <c r="C25" s="104"/>
      <c r="D25" s="309">
        <f>Inputs!$H$94</f>
        <v>0.25</v>
      </c>
      <c r="E25" s="96"/>
      <c r="F25" s="304"/>
      <c r="G25" s="304"/>
      <c r="H25" s="90">
        <f>H$24*(1+Inputs!H$94)</f>
        <v>1082.4321599999998</v>
      </c>
      <c r="I25" s="90">
        <f>I$24*(1+Inputs!I$94)</f>
        <v>1104.0808032</v>
      </c>
      <c r="J25" s="90">
        <f>J$24*(1+Inputs!J$94)</f>
        <v>1126.1624192639999</v>
      </c>
      <c r="K25" s="90">
        <f>K$24*(1+Inputs!K$94)</f>
        <v>1147.5595052300159</v>
      </c>
      <c r="L25" s="90">
        <f>L$24*(1+Inputs!L$94)</f>
        <v>1169.363135829386</v>
      </c>
      <c r="M25" s="90">
        <f>M$24*(1+Inputs!M$94)</f>
        <v>1191.5810354101443</v>
      </c>
      <c r="N25" s="90">
        <f>N$24*(1+Inputs!N$94)</f>
        <v>1214.221075082937</v>
      </c>
      <c r="O25" s="90">
        <f>O$24*(1+Inputs!O$94)</f>
        <v>1236.0770544344298</v>
      </c>
      <c r="P25" s="90">
        <f>P$24*(1+Inputs!P$94)</f>
        <v>1258.3264414142495</v>
      </c>
      <c r="Q25" s="90">
        <f>Q$24*(1+Inputs!Q$94)</f>
        <v>1280.9763173597059</v>
      </c>
      <c r="R25" s="90">
        <f>R$24*(1+Inputs!R$94)</f>
        <v>1302.7529147548207</v>
      </c>
      <c r="S25" s="90">
        <f>S$24*(1+Inputs!S$94)</f>
        <v>1323.5969613908981</v>
      </c>
      <c r="T25" s="90">
        <f>T$24*(1+Inputs!T$94)</f>
        <v>1344.7745127731525</v>
      </c>
      <c r="U25" s="90">
        <f>U$24*(1+Inputs!U$94)</f>
        <v>1366.2909049775228</v>
      </c>
      <c r="V25" s="90">
        <f>V$24*(1+Inputs!V$94)</f>
        <v>1388.1515594571633</v>
      </c>
      <c r="W25" s="90">
        <f>W$24*(1+Inputs!W$94)</f>
        <v>1410.3619844084778</v>
      </c>
      <c r="X25" s="90">
        <f>X$24*(1+Inputs!X$94)</f>
        <v>1432.9277761590133</v>
      </c>
      <c r="Y25" s="90">
        <f>Y$24*(1+Inputs!Y$94)</f>
        <v>1455.8546205775576</v>
      </c>
      <c r="Z25" s="90">
        <f>Z$24*(1+Inputs!Z$94)</f>
        <v>1479.1482945067987</v>
      </c>
      <c r="AA25" s="90">
        <f>AA$24*(1+Inputs!AA$94)</f>
        <v>1502.8146672189075</v>
      </c>
    </row>
    <row r="26" spans="1:27" ht="15" customHeight="1" outlineLevel="1">
      <c r="A26" s="95"/>
      <c r="B26" s="132" t="s">
        <v>265</v>
      </c>
      <c r="C26" s="104"/>
      <c r="D26" s="309">
        <f>Inputs!$H$101</f>
        <v>0.1</v>
      </c>
      <c r="E26" s="96"/>
      <c r="F26" s="304"/>
      <c r="G26" s="304"/>
      <c r="H26" s="90">
        <f>H$24*(1+Inputs!H$101)</f>
        <v>952.54030079999995</v>
      </c>
      <c r="I26" s="90">
        <f>I$24*(1+Inputs!I$101)</f>
        <v>971.59110681600009</v>
      </c>
      <c r="J26" s="90">
        <f>J$24*(1+Inputs!J$101)</f>
        <v>991.02292895232006</v>
      </c>
      <c r="K26" s="90">
        <f>K$24*(1+Inputs!K$101)</f>
        <v>1009.852364602414</v>
      </c>
      <c r="L26" s="90">
        <f>L$24*(1+Inputs!L$101)</f>
        <v>1029.0395595298598</v>
      </c>
      <c r="M26" s="90">
        <f>M$24*(1+Inputs!M$101)</f>
        <v>1048.591311160927</v>
      </c>
      <c r="N26" s="90">
        <f>N$24*(1+Inputs!N$101)</f>
        <v>1068.5145460729846</v>
      </c>
      <c r="O26" s="90">
        <f>O$24*(1+Inputs!O$101)</f>
        <v>1087.7478079022983</v>
      </c>
      <c r="P26" s="90">
        <f>P$24*(1+Inputs!P$101)</f>
        <v>1107.3272684445396</v>
      </c>
      <c r="Q26" s="90">
        <f>Q$24*(1+Inputs!Q$101)</f>
        <v>1127.2591592765414</v>
      </c>
      <c r="R26" s="90">
        <f>R$24*(1+Inputs!R$101)</f>
        <v>1146.4225649842424</v>
      </c>
      <c r="S26" s="90">
        <f>S$24*(1+Inputs!S$101)</f>
        <v>1164.7653260239904</v>
      </c>
      <c r="T26" s="90">
        <f>T$24*(1+Inputs!T$101)</f>
        <v>1183.4015712403743</v>
      </c>
      <c r="U26" s="90">
        <f>U$24*(1+Inputs!U$101)</f>
        <v>1202.3359963802202</v>
      </c>
      <c r="V26" s="90">
        <f>V$24*(1+Inputs!V$101)</f>
        <v>1221.5733723223038</v>
      </c>
      <c r="W26" s="90">
        <f>W$24*(1+Inputs!W$101)</f>
        <v>1241.1185462794606</v>
      </c>
      <c r="X26" s="90">
        <f>X$24*(1+Inputs!X$101)</f>
        <v>1260.9764430199318</v>
      </c>
      <c r="Y26" s="90">
        <f>Y$24*(1+Inputs!Y$101)</f>
        <v>1281.1520661082509</v>
      </c>
      <c r="Z26" s="90">
        <f>Z$24*(1+Inputs!Z$101)</f>
        <v>1301.6504991659829</v>
      </c>
      <c r="AA26" s="90">
        <f>AA$24*(1+Inputs!AA$101)</f>
        <v>1322.4769071526387</v>
      </c>
    </row>
    <row r="27" spans="1:27" ht="15" customHeight="1" outlineLevel="1">
      <c r="A27" s="95"/>
      <c r="C27" s="104"/>
      <c r="D27" s="261"/>
      <c r="E27" s="96"/>
      <c r="F27" s="153"/>
      <c r="G27" s="153"/>
      <c r="H27" s="153"/>
      <c r="I27" s="152"/>
      <c r="J27" s="152"/>
      <c r="K27" s="152"/>
      <c r="L27" s="152"/>
      <c r="M27" s="148"/>
      <c r="N27" s="148"/>
      <c r="O27" s="148"/>
    </row>
    <row r="28" spans="1:27" s="66" customFormat="1" ht="15" customHeight="1" outlineLevel="1">
      <c r="B28" s="78" t="s">
        <v>101</v>
      </c>
      <c r="C28" s="72"/>
      <c r="D28" s="261"/>
      <c r="E28" s="133"/>
      <c r="F28" s="148"/>
      <c r="G28" s="148"/>
      <c r="H28" s="148"/>
      <c r="I28" s="148"/>
      <c r="J28" s="148"/>
      <c r="K28" s="148"/>
      <c r="L28" s="148"/>
      <c r="M28" s="148"/>
      <c r="N28" s="148"/>
      <c r="O28" s="148"/>
    </row>
    <row r="29" spans="1:27" s="66" customFormat="1" ht="15" customHeight="1" outlineLevel="1">
      <c r="B29" s="132" t="s">
        <v>129</v>
      </c>
      <c r="C29" s="72"/>
      <c r="D29" s="261" t="s">
        <v>123</v>
      </c>
      <c r="E29" s="133"/>
      <c r="F29" s="148"/>
      <c r="G29" s="148"/>
      <c r="H29" s="307">
        <f>Inputs!H$108</f>
        <v>0.75</v>
      </c>
      <c r="I29" s="307">
        <f>Inputs!I$108</f>
        <v>0.75</v>
      </c>
      <c r="J29" s="307">
        <f>Inputs!J$108</f>
        <v>0.75</v>
      </c>
      <c r="K29" s="307">
        <f>Inputs!K$108</f>
        <v>0.75</v>
      </c>
      <c r="L29" s="307">
        <f>Inputs!L$108</f>
        <v>0.75</v>
      </c>
      <c r="M29" s="307">
        <f>Inputs!M$108</f>
        <v>0.75</v>
      </c>
      <c r="N29" s="307">
        <f>Inputs!N$108</f>
        <v>0.75</v>
      </c>
      <c r="O29" s="307">
        <f>Inputs!O$108</f>
        <v>0.75</v>
      </c>
      <c r="P29" s="307">
        <f>Inputs!P$108</f>
        <v>0.75</v>
      </c>
      <c r="Q29" s="307">
        <f>Inputs!Q$108</f>
        <v>0.75</v>
      </c>
      <c r="R29" s="307">
        <f>Inputs!R$108</f>
        <v>0.75</v>
      </c>
      <c r="S29" s="307">
        <f>Inputs!S$108</f>
        <v>0.75</v>
      </c>
      <c r="T29" s="307">
        <f>Inputs!T$108</f>
        <v>0.75</v>
      </c>
      <c r="U29" s="307">
        <f>Inputs!U$108</f>
        <v>0.75</v>
      </c>
      <c r="V29" s="307">
        <f>Inputs!V$108</f>
        <v>0.75</v>
      </c>
      <c r="W29" s="307">
        <f>Inputs!W$108</f>
        <v>0.75</v>
      </c>
      <c r="X29" s="307">
        <f>Inputs!X$108</f>
        <v>0.75</v>
      </c>
      <c r="Y29" s="307">
        <f>Inputs!Y$108</f>
        <v>0.75</v>
      </c>
      <c r="Z29" s="307">
        <f>Inputs!Z$108</f>
        <v>0.75</v>
      </c>
      <c r="AA29" s="307">
        <f>Inputs!AA$108</f>
        <v>0.75</v>
      </c>
    </row>
    <row r="30" spans="1:27" s="66" customFormat="1" ht="15" customHeight="1" outlineLevel="1">
      <c r="B30" s="132" t="s">
        <v>130</v>
      </c>
      <c r="C30" s="72"/>
      <c r="D30" s="261" t="s">
        <v>123</v>
      </c>
      <c r="E30" s="133"/>
      <c r="F30" s="148"/>
      <c r="G30" s="148"/>
      <c r="H30" s="307">
        <f>1-H$29</f>
        <v>0.25</v>
      </c>
      <c r="I30" s="307">
        <f t="shared" ref="I30:AA30" si="27">1-I$29</f>
        <v>0.25</v>
      </c>
      <c r="J30" s="307">
        <f t="shared" si="27"/>
        <v>0.25</v>
      </c>
      <c r="K30" s="307">
        <f t="shared" si="27"/>
        <v>0.25</v>
      </c>
      <c r="L30" s="307">
        <f t="shared" si="27"/>
        <v>0.25</v>
      </c>
      <c r="M30" s="307">
        <f t="shared" si="27"/>
        <v>0.25</v>
      </c>
      <c r="N30" s="307">
        <f t="shared" si="27"/>
        <v>0.25</v>
      </c>
      <c r="O30" s="307">
        <f t="shared" si="27"/>
        <v>0.25</v>
      </c>
      <c r="P30" s="307">
        <f t="shared" si="27"/>
        <v>0.25</v>
      </c>
      <c r="Q30" s="307">
        <f t="shared" si="27"/>
        <v>0.25</v>
      </c>
      <c r="R30" s="307">
        <f t="shared" si="27"/>
        <v>0.25</v>
      </c>
      <c r="S30" s="307">
        <f t="shared" si="27"/>
        <v>0.25</v>
      </c>
      <c r="T30" s="307">
        <f t="shared" si="27"/>
        <v>0.25</v>
      </c>
      <c r="U30" s="307">
        <f t="shared" si="27"/>
        <v>0.25</v>
      </c>
      <c r="V30" s="307">
        <f t="shared" si="27"/>
        <v>0.25</v>
      </c>
      <c r="W30" s="307">
        <f t="shared" si="27"/>
        <v>0.25</v>
      </c>
      <c r="X30" s="307">
        <f t="shared" si="27"/>
        <v>0.25</v>
      </c>
      <c r="Y30" s="307">
        <f t="shared" si="27"/>
        <v>0.25</v>
      </c>
      <c r="Z30" s="307">
        <f t="shared" si="27"/>
        <v>0.25</v>
      </c>
      <c r="AA30" s="307">
        <f t="shared" si="27"/>
        <v>0.25</v>
      </c>
    </row>
    <row r="31" spans="1:27" s="66" customFormat="1" ht="15" customHeight="1" outlineLevel="1">
      <c r="B31" s="68"/>
      <c r="C31" s="72"/>
      <c r="D31" s="261"/>
      <c r="E31" s="133"/>
      <c r="F31" s="148"/>
      <c r="G31" s="148"/>
      <c r="H31" s="148"/>
      <c r="I31" s="148"/>
      <c r="J31" s="148"/>
      <c r="K31" s="148"/>
      <c r="L31" s="148"/>
      <c r="M31" s="148"/>
      <c r="N31" s="148"/>
      <c r="O31" s="148"/>
    </row>
    <row r="32" spans="1:27" ht="15" customHeight="1" outlineLevel="1">
      <c r="A32" s="95"/>
      <c r="B32" s="132" t="s">
        <v>131</v>
      </c>
      <c r="C32" s="104"/>
      <c r="D32" s="261" t="s">
        <v>144</v>
      </c>
      <c r="E32" s="96"/>
      <c r="F32" s="148"/>
      <c r="G32" s="148"/>
      <c r="H32" s="90">
        <f t="shared" ref="H32:AA32" si="28">H21*H29*H25</f>
        <v>1420.6922099999997</v>
      </c>
      <c r="I32" s="90">
        <f t="shared" si="28"/>
        <v>1759.6287801000001</v>
      </c>
      <c r="J32" s="90">
        <f t="shared" si="28"/>
        <v>2111.5545361199997</v>
      </c>
      <c r="K32" s="90">
        <f t="shared" si="28"/>
        <v>3657.8459229206755</v>
      </c>
      <c r="L32" s="90">
        <f t="shared" si="28"/>
        <v>4056.2283774081825</v>
      </c>
      <c r="M32" s="90">
        <f t="shared" si="28"/>
        <v>4468.4288827880409</v>
      </c>
      <c r="N32" s="90">
        <f t="shared" si="28"/>
        <v>4553.3290315610138</v>
      </c>
      <c r="O32" s="90">
        <f t="shared" si="28"/>
        <v>4635.2889541291115</v>
      </c>
      <c r="P32" s="90">
        <f t="shared" si="28"/>
        <v>4718.7241553034355</v>
      </c>
      <c r="Q32" s="90">
        <f t="shared" si="28"/>
        <v>4803.6611900988974</v>
      </c>
      <c r="R32" s="90">
        <f t="shared" si="28"/>
        <v>4885.323430330578</v>
      </c>
      <c r="S32" s="90">
        <f t="shared" si="28"/>
        <v>4963.4886052158681</v>
      </c>
      <c r="T32" s="90">
        <f t="shared" si="28"/>
        <v>5042.9044228993216</v>
      </c>
      <c r="U32" s="90">
        <f t="shared" si="28"/>
        <v>5123.5908936657106</v>
      </c>
      <c r="V32" s="90">
        <f t="shared" si="28"/>
        <v>5205.5683479643621</v>
      </c>
      <c r="W32" s="90">
        <f t="shared" si="28"/>
        <v>5288.8574415317917</v>
      </c>
      <c r="X32" s="90">
        <f t="shared" si="28"/>
        <v>5373.4791605963001</v>
      </c>
      <c r="Y32" s="90">
        <f t="shared" si="28"/>
        <v>5459.4548271658414</v>
      </c>
      <c r="Z32" s="90">
        <f t="shared" si="28"/>
        <v>5546.8061044004953</v>
      </c>
      <c r="AA32" s="90">
        <f t="shared" si="28"/>
        <v>5635.5550020709034</v>
      </c>
    </row>
    <row r="33" spans="1:27" ht="15" customHeight="1" outlineLevel="1">
      <c r="A33" s="95"/>
      <c r="B33" s="132" t="s">
        <v>132</v>
      </c>
      <c r="C33" s="104"/>
      <c r="D33" s="261" t="s">
        <v>144</v>
      </c>
      <c r="E33" s="96"/>
      <c r="F33" s="148"/>
      <c r="G33" s="148"/>
      <c r="H33" s="90">
        <f t="shared" ref="H33:AA33" si="29">H21*H30*H26</f>
        <v>416.73638159999996</v>
      </c>
      <c r="I33" s="90">
        <f t="shared" si="29"/>
        <v>516.157775496</v>
      </c>
      <c r="J33" s="90">
        <f t="shared" si="29"/>
        <v>619.38933059520002</v>
      </c>
      <c r="K33" s="90">
        <f t="shared" si="29"/>
        <v>1072.9681373900648</v>
      </c>
      <c r="L33" s="90">
        <f t="shared" si="29"/>
        <v>1189.8269907064005</v>
      </c>
      <c r="M33" s="90">
        <f t="shared" si="29"/>
        <v>1310.7391389511588</v>
      </c>
      <c r="N33" s="90">
        <f t="shared" si="29"/>
        <v>1335.6431825912307</v>
      </c>
      <c r="O33" s="90">
        <f t="shared" si="29"/>
        <v>1359.6847598778729</v>
      </c>
      <c r="P33" s="90">
        <f t="shared" si="29"/>
        <v>1384.1590855556747</v>
      </c>
      <c r="Q33" s="90">
        <f t="shared" si="29"/>
        <v>1409.0739490956767</v>
      </c>
      <c r="R33" s="90">
        <f t="shared" si="29"/>
        <v>1433.0282062303031</v>
      </c>
      <c r="S33" s="90">
        <f t="shared" si="29"/>
        <v>1455.956657529988</v>
      </c>
      <c r="T33" s="90">
        <f t="shared" si="29"/>
        <v>1479.2519640504679</v>
      </c>
      <c r="U33" s="90">
        <f t="shared" si="29"/>
        <v>1502.9199954752753</v>
      </c>
      <c r="V33" s="90">
        <f t="shared" si="29"/>
        <v>1526.9667154028798</v>
      </c>
      <c r="W33" s="90">
        <f t="shared" si="29"/>
        <v>1551.3981828493256</v>
      </c>
      <c r="X33" s="90">
        <f t="shared" si="29"/>
        <v>1576.2205537749148</v>
      </c>
      <c r="Y33" s="90">
        <f t="shared" si="29"/>
        <v>1601.4400826353135</v>
      </c>
      <c r="Z33" s="90">
        <f t="shared" si="29"/>
        <v>1627.0631239574786</v>
      </c>
      <c r="AA33" s="90">
        <f t="shared" si="29"/>
        <v>1653.0961339407984</v>
      </c>
    </row>
    <row r="34" spans="1:27" ht="15" customHeight="1" outlineLevel="1" thickBot="1">
      <c r="A34" s="95"/>
      <c r="B34" s="132" t="s">
        <v>133</v>
      </c>
      <c r="C34" s="104"/>
      <c r="D34" s="261" t="s">
        <v>144</v>
      </c>
      <c r="E34" s="96"/>
      <c r="F34" s="148"/>
      <c r="G34" s="148"/>
      <c r="H34" s="286">
        <f>SUM(H32:H33)</f>
        <v>1837.4285915999997</v>
      </c>
      <c r="I34" s="286">
        <f t="shared" ref="I34:X34" si="30">SUM(I32:I33)</f>
        <v>2275.7865555960002</v>
      </c>
      <c r="J34" s="286">
        <f t="shared" si="30"/>
        <v>2730.9438667151999</v>
      </c>
      <c r="K34" s="329">
        <f t="shared" si="30"/>
        <v>4730.8140603107404</v>
      </c>
      <c r="L34" s="286">
        <f t="shared" si="30"/>
        <v>5246.055368114583</v>
      </c>
      <c r="M34" s="286">
        <f t="shared" si="30"/>
        <v>5779.1680217391995</v>
      </c>
      <c r="N34" s="286">
        <f t="shared" si="30"/>
        <v>5888.9722141522443</v>
      </c>
      <c r="O34" s="286">
        <f t="shared" si="30"/>
        <v>5994.9737140069847</v>
      </c>
      <c r="P34" s="286">
        <f t="shared" si="30"/>
        <v>6102.8832408591097</v>
      </c>
      <c r="Q34" s="286">
        <f t="shared" si="30"/>
        <v>6212.735139194574</v>
      </c>
      <c r="R34" s="286">
        <f t="shared" si="30"/>
        <v>6318.3516365608812</v>
      </c>
      <c r="S34" s="286">
        <f t="shared" si="30"/>
        <v>6419.4452627458559</v>
      </c>
      <c r="T34" s="286">
        <f t="shared" si="30"/>
        <v>6522.1563869497895</v>
      </c>
      <c r="U34" s="286">
        <f t="shared" si="30"/>
        <v>6626.5108891409855</v>
      </c>
      <c r="V34" s="286">
        <f t="shared" si="30"/>
        <v>6732.5350633672424</v>
      </c>
      <c r="W34" s="286">
        <f t="shared" si="30"/>
        <v>6840.2556243811177</v>
      </c>
      <c r="X34" s="286">
        <f t="shared" si="30"/>
        <v>6949.6997143712151</v>
      </c>
      <c r="Y34" s="286">
        <f>SUM(Y32:Y33)</f>
        <v>7060.8949098011544</v>
      </c>
      <c r="Z34" s="286">
        <f t="shared" ref="Z34:AA34" si="31">SUM(Z32:Z33)</f>
        <v>7173.869228357974</v>
      </c>
      <c r="AA34" s="286">
        <f t="shared" si="31"/>
        <v>7288.651136011702</v>
      </c>
    </row>
    <row r="35" spans="1:27" ht="15" customHeight="1" outlineLevel="1">
      <c r="A35" s="95"/>
      <c r="B35" s="8" t="s">
        <v>133</v>
      </c>
      <c r="C35" s="104"/>
      <c r="D35" s="261" t="s">
        <v>144</v>
      </c>
      <c r="E35" s="96"/>
      <c r="F35" s="148"/>
      <c r="G35" s="148"/>
      <c r="H35" s="148">
        <v>1300.7490234375</v>
      </c>
      <c r="I35" s="90">
        <v>1640.9449218749999</v>
      </c>
      <c r="J35" s="90">
        <v>2081.9488696289059</v>
      </c>
      <c r="K35" s="90">
        <v>3503.9199475854489</v>
      </c>
      <c r="L35" s="90">
        <v>3889.3511418198486</v>
      </c>
      <c r="M35" s="90">
        <v>4397.1275408907732</v>
      </c>
      <c r="N35" s="90">
        <v>4474.0772728563625</v>
      </c>
      <c r="O35" s="8">
        <v>4552.3736251313485</v>
      </c>
      <c r="P35" s="8">
        <v>4620.6592295083183</v>
      </c>
      <c r="Q35" s="8">
        <v>4689.9691179509427</v>
      </c>
      <c r="R35" s="8">
        <v>4760.3186547202058</v>
      </c>
      <c r="S35" s="8">
        <v>4831.7234345410088</v>
      </c>
      <c r="T35" s="8">
        <v>4904.1992860591236</v>
      </c>
      <c r="U35" s="8">
        <v>4977.76227535001</v>
      </c>
      <c r="V35" s="8">
        <v>5052.4287094802585</v>
      </c>
      <c r="W35" s="8">
        <v>5128.2151401224628</v>
      </c>
      <c r="X35" s="8">
        <v>5205.1383672242991</v>
      </c>
      <c r="Y35" s="8">
        <v>5283.2154427326623</v>
      </c>
      <c r="Z35" s="8">
        <v>5362.4636743736519</v>
      </c>
      <c r="AA35" s="8">
        <v>5442.9006294892561</v>
      </c>
    </row>
    <row r="36" spans="1:27" ht="15" customHeight="1" outlineLevel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66" customFormat="1" ht="15" customHeight="1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223"/>
    </row>
    <row r="38" spans="1:27" ht="15" customHeight="1">
      <c r="A38" s="66" t="s">
        <v>0</v>
      </c>
      <c r="B38" s="108" t="s">
        <v>100</v>
      </c>
      <c r="C38" s="107"/>
      <c r="D38" s="106"/>
      <c r="E38" s="106"/>
      <c r="F38" s="105"/>
      <c r="G38" s="105"/>
      <c r="H38" s="105"/>
      <c r="I38" s="105"/>
      <c r="J38" s="105"/>
      <c r="K38" s="105"/>
      <c r="L38" s="105"/>
      <c r="M38" s="10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</row>
    <row r="39" spans="1:27" ht="15" customHeight="1" outlineLevel="1">
      <c r="A39" s="66"/>
      <c r="B39" s="192"/>
      <c r="C39" s="104"/>
      <c r="D39" s="103"/>
      <c r="E39" s="103"/>
      <c r="F39" s="102"/>
      <c r="G39" s="102"/>
      <c r="H39" s="102"/>
      <c r="I39" s="102"/>
      <c r="J39" s="102"/>
      <c r="K39" s="102"/>
      <c r="L39" s="102"/>
      <c r="M39" s="102"/>
      <c r="N39" s="102"/>
    </row>
    <row r="40" spans="1:27" s="303" customFormat="1" ht="15" customHeight="1" outlineLevel="1">
      <c r="A40" s="301"/>
      <c r="B40" s="86" t="s">
        <v>134</v>
      </c>
      <c r="C40" s="302"/>
      <c r="D40" s="302"/>
      <c r="E40" s="302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</row>
    <row r="41" spans="1:27" ht="15" customHeight="1" outlineLevel="1" thickBot="1">
      <c r="A41" s="115"/>
      <c r="B41" s="86" t="str" cm="1">
        <f t="array" ref="B41">CONCATENATE("Model Drivers: ",INDEX(Inputs!$B$96:$B$98,Inputs!$D$86)," &amp; ",INDEX(Inputs!$B$143:$B$144,Inputs!$D$139)," Financing")</f>
        <v>Model Drivers: Base Case &amp; Two Phased  Financing</v>
      </c>
      <c r="C41" s="104"/>
      <c r="D41" s="96"/>
      <c r="E41" s="96"/>
      <c r="F41" s="245">
        <v>2025</v>
      </c>
      <c r="G41" s="245">
        <v>2026</v>
      </c>
      <c r="H41" s="316">
        <f>Inputs!$F$8</f>
        <v>2027</v>
      </c>
      <c r="I41" s="316">
        <f>H41+1</f>
        <v>2028</v>
      </c>
      <c r="J41" s="316">
        <f t="shared" ref="J41" si="32">I41+1</f>
        <v>2029</v>
      </c>
      <c r="K41" s="317">
        <f t="shared" ref="K41" si="33">J41+1</f>
        <v>2030</v>
      </c>
      <c r="L41" s="317">
        <f t="shared" ref="L41" si="34">K41+1</f>
        <v>2031</v>
      </c>
      <c r="M41" s="317">
        <f t="shared" ref="M41" si="35">L41+1</f>
        <v>2032</v>
      </c>
      <c r="N41" s="317">
        <f t="shared" ref="N41" si="36">M41+1</f>
        <v>2033</v>
      </c>
      <c r="O41" s="317">
        <f t="shared" ref="O41" si="37">N41+1</f>
        <v>2034</v>
      </c>
      <c r="P41" s="317">
        <f t="shared" ref="P41" si="38">O41+1</f>
        <v>2035</v>
      </c>
      <c r="Q41" s="317">
        <f t="shared" ref="Q41" si="39">P41+1</f>
        <v>2036</v>
      </c>
      <c r="R41" s="317">
        <f t="shared" ref="R41" si="40">Q41+1</f>
        <v>2037</v>
      </c>
      <c r="S41" s="317">
        <f t="shared" ref="S41" si="41">R41+1</f>
        <v>2038</v>
      </c>
      <c r="T41" s="317">
        <f t="shared" ref="T41" si="42">S41+1</f>
        <v>2039</v>
      </c>
      <c r="U41" s="317">
        <f t="shared" ref="U41" si="43">T41+1</f>
        <v>2040</v>
      </c>
      <c r="V41" s="317">
        <f>U41+1</f>
        <v>2041</v>
      </c>
      <c r="W41" s="317">
        <f t="shared" ref="W41" si="44">V41+1</f>
        <v>2042</v>
      </c>
      <c r="X41" s="317">
        <f t="shared" ref="X41" si="45">W41+1</f>
        <v>2043</v>
      </c>
      <c r="Y41" s="317">
        <f t="shared" ref="Y41" si="46">X41+1</f>
        <v>2044</v>
      </c>
      <c r="Z41" s="317">
        <f t="shared" ref="Z41" si="47">Y41+1</f>
        <v>2045</v>
      </c>
      <c r="AA41" s="317">
        <f t="shared" ref="AA41" si="48">Z41+1</f>
        <v>2046</v>
      </c>
    </row>
    <row r="42" spans="1:27" ht="15" customHeight="1" outlineLevel="1">
      <c r="A42" s="66"/>
      <c r="B42" s="86"/>
      <c r="C42" s="104"/>
      <c r="D42" s="96"/>
      <c r="E42" s="96"/>
      <c r="F42" s="96"/>
      <c r="G42" s="96"/>
      <c r="H42" s="96"/>
      <c r="I42" s="95"/>
      <c r="J42" s="95"/>
      <c r="K42" s="95"/>
      <c r="L42" s="95"/>
      <c r="M42" s="95"/>
    </row>
    <row r="43" spans="1:27" ht="15" customHeight="1" outlineLevel="1">
      <c r="A43" s="66"/>
      <c r="B43" s="132" t="s">
        <v>145</v>
      </c>
      <c r="C43" s="104"/>
      <c r="D43" s="261" t="s">
        <v>116</v>
      </c>
      <c r="E43" s="96"/>
      <c r="F43" s="285"/>
      <c r="G43" s="148"/>
      <c r="H43" s="249">
        <f t="shared" ref="H43:AA43" si="49">H21</f>
        <v>1.75</v>
      </c>
      <c r="I43" s="249">
        <f t="shared" si="49"/>
        <v>2.125</v>
      </c>
      <c r="J43" s="249">
        <f t="shared" si="49"/>
        <v>2.5</v>
      </c>
      <c r="K43" s="330">
        <f t="shared" si="49"/>
        <v>4.25</v>
      </c>
      <c r="L43" s="249">
        <f t="shared" si="49"/>
        <v>4.625</v>
      </c>
      <c r="M43" s="249">
        <f t="shared" si="49"/>
        <v>5</v>
      </c>
      <c r="N43" s="249">
        <f t="shared" si="49"/>
        <v>5</v>
      </c>
      <c r="O43" s="249">
        <f t="shared" si="49"/>
        <v>5</v>
      </c>
      <c r="P43" s="249">
        <f t="shared" si="49"/>
        <v>5</v>
      </c>
      <c r="Q43" s="249">
        <f t="shared" si="49"/>
        <v>5</v>
      </c>
      <c r="R43" s="249">
        <f t="shared" si="49"/>
        <v>5</v>
      </c>
      <c r="S43" s="249">
        <f t="shared" si="49"/>
        <v>5</v>
      </c>
      <c r="T43" s="249">
        <f t="shared" si="49"/>
        <v>5</v>
      </c>
      <c r="U43" s="249">
        <f t="shared" si="49"/>
        <v>5</v>
      </c>
      <c r="V43" s="249">
        <f t="shared" si="49"/>
        <v>5</v>
      </c>
      <c r="W43" s="249">
        <f t="shared" si="49"/>
        <v>5</v>
      </c>
      <c r="X43" s="249">
        <f t="shared" si="49"/>
        <v>5</v>
      </c>
      <c r="Y43" s="249">
        <f t="shared" si="49"/>
        <v>5</v>
      </c>
      <c r="Z43" s="249">
        <f t="shared" si="49"/>
        <v>5</v>
      </c>
      <c r="AA43" s="249">
        <f t="shared" si="49"/>
        <v>5</v>
      </c>
    </row>
    <row r="44" spans="1:27" ht="15" customHeight="1" outlineLevel="1">
      <c r="A44" s="66"/>
      <c r="B44" s="132" t="s">
        <v>153</v>
      </c>
      <c r="C44" s="104"/>
      <c r="D44" s="261" t="s">
        <v>116</v>
      </c>
      <c r="E44" s="96"/>
      <c r="F44" s="285"/>
      <c r="G44" s="148"/>
      <c r="H44" s="249">
        <f>H43*Inputs!$L$10</f>
        <v>2.625</v>
      </c>
      <c r="I44" s="249">
        <f>I43*Inputs!$L$10</f>
        <v>3.1875</v>
      </c>
      <c r="J44" s="249">
        <f>J43*Inputs!$L$10</f>
        <v>3.75</v>
      </c>
      <c r="K44" s="330">
        <f>K43*Inputs!$L$10</f>
        <v>6.375</v>
      </c>
      <c r="L44" s="249">
        <f>L43*Inputs!$L$10</f>
        <v>6.9375</v>
      </c>
      <c r="M44" s="249">
        <f>M43*Inputs!$L$10</f>
        <v>7.5</v>
      </c>
      <c r="N44" s="249">
        <f>N43*Inputs!$L$10</f>
        <v>7.5</v>
      </c>
      <c r="O44" s="249">
        <f>O43*Inputs!$L$10</f>
        <v>7.5</v>
      </c>
      <c r="P44" s="249">
        <f>P43*Inputs!$L$10</f>
        <v>7.5</v>
      </c>
      <c r="Q44" s="249">
        <f>Q43*Inputs!$L$10</f>
        <v>7.5</v>
      </c>
      <c r="R44" s="249">
        <f>R43*Inputs!$L$10</f>
        <v>7.5</v>
      </c>
      <c r="S44" s="249">
        <f>S43*Inputs!$L$10</f>
        <v>7.5</v>
      </c>
      <c r="T44" s="249">
        <f>T43*Inputs!$L$10</f>
        <v>7.5</v>
      </c>
      <c r="U44" s="249">
        <f>U43*Inputs!$L$10</f>
        <v>7.5</v>
      </c>
      <c r="V44" s="249">
        <f>V43*Inputs!$L$10</f>
        <v>7.5</v>
      </c>
      <c r="W44" s="249">
        <f>W43*Inputs!$L$10</f>
        <v>7.5</v>
      </c>
      <c r="X44" s="249">
        <f>X43*Inputs!$L$10</f>
        <v>7.5</v>
      </c>
      <c r="Y44" s="249">
        <f>Y43*Inputs!$L$10</f>
        <v>7.5</v>
      </c>
      <c r="Z44" s="249">
        <f>Z43*Inputs!$L$10</f>
        <v>7.5</v>
      </c>
      <c r="AA44" s="249">
        <f>AA43*Inputs!$L$10</f>
        <v>7.5</v>
      </c>
    </row>
    <row r="45" spans="1:27" ht="15" customHeight="1" outlineLevel="1">
      <c r="A45" s="66"/>
      <c r="B45" s="132" t="s">
        <v>154</v>
      </c>
      <c r="C45" s="104"/>
      <c r="D45" s="261" t="s">
        <v>138</v>
      </c>
      <c r="E45" s="96"/>
      <c r="F45" s="285"/>
      <c r="G45" s="285"/>
      <c r="H45" s="249">
        <f>H43/2.5*Inputs!$L$8</f>
        <v>4.8999999999999995</v>
      </c>
      <c r="I45" s="249">
        <f>I43/2.5*Inputs!$L$8</f>
        <v>5.95</v>
      </c>
      <c r="J45" s="249">
        <f>J43/2.5*Inputs!$L$8</f>
        <v>7</v>
      </c>
      <c r="K45" s="330">
        <f>K43/2.5*Inputs!$L$8</f>
        <v>11.9</v>
      </c>
      <c r="L45" s="249">
        <f>L43/2.5*Inputs!$L$8</f>
        <v>12.950000000000001</v>
      </c>
      <c r="M45" s="249">
        <f>M43/2.5*Inputs!$L$8</f>
        <v>14</v>
      </c>
      <c r="N45" s="249">
        <f>N43/2.5*Inputs!$L$8</f>
        <v>14</v>
      </c>
      <c r="O45" s="249">
        <f>O43/2.5*Inputs!$L$8</f>
        <v>14</v>
      </c>
      <c r="P45" s="249">
        <f>P43/2.5*Inputs!$L$8</f>
        <v>14</v>
      </c>
      <c r="Q45" s="249">
        <f>Q43/2.5*Inputs!$L$8</f>
        <v>14</v>
      </c>
      <c r="R45" s="249">
        <f>R43/2.5*Inputs!$L$8</f>
        <v>14</v>
      </c>
      <c r="S45" s="249">
        <f>S43/2.5*Inputs!$L$8</f>
        <v>14</v>
      </c>
      <c r="T45" s="249">
        <f>T43/2.5*Inputs!$L$8</f>
        <v>14</v>
      </c>
      <c r="U45" s="249">
        <f>U43/2.5*Inputs!$L$8</f>
        <v>14</v>
      </c>
      <c r="V45" s="249">
        <f>V43/2.5*Inputs!$L$8</f>
        <v>14</v>
      </c>
      <c r="W45" s="314">
        <f>W43/2.5*Inputs!$L$8</f>
        <v>14</v>
      </c>
      <c r="X45" s="314">
        <f>X43/2.5*Inputs!$L$8</f>
        <v>14</v>
      </c>
      <c r="Y45" s="314">
        <f>Y43/2.5*Inputs!$L$8</f>
        <v>14</v>
      </c>
      <c r="Z45" s="314">
        <f>Z43/2.5*Inputs!$L$8</f>
        <v>14</v>
      </c>
      <c r="AA45" s="314">
        <f>AA43/2.5*Inputs!$L$8</f>
        <v>14</v>
      </c>
    </row>
    <row r="46" spans="1:27" ht="15" customHeight="1" outlineLevel="1">
      <c r="A46" s="66"/>
      <c r="B46" s="132" t="s">
        <v>155</v>
      </c>
      <c r="C46" s="104"/>
      <c r="D46" s="261" t="s">
        <v>116</v>
      </c>
      <c r="E46" s="96"/>
      <c r="F46" s="285"/>
      <c r="G46" s="285"/>
      <c r="H46" s="249">
        <f>H43*Inputs!$L$11</f>
        <v>0.54249999999999998</v>
      </c>
      <c r="I46" s="249">
        <f>I43*Inputs!$L$11</f>
        <v>0.65874999999999995</v>
      </c>
      <c r="J46" s="249">
        <f>J43*Inputs!$L$11</f>
        <v>0.77500000000000002</v>
      </c>
      <c r="K46" s="249">
        <f>K43*Inputs!$L$11</f>
        <v>1.3174999999999999</v>
      </c>
      <c r="L46" s="249">
        <f>L43*Inputs!$L$11</f>
        <v>1.4337500000000001</v>
      </c>
      <c r="M46" s="249">
        <f>M43*Inputs!$L$11</f>
        <v>1.55</v>
      </c>
      <c r="N46" s="249">
        <f>N43*Inputs!$L$11</f>
        <v>1.55</v>
      </c>
      <c r="O46" s="249">
        <f>O43*Inputs!$L$11</f>
        <v>1.55</v>
      </c>
      <c r="P46" s="249">
        <f>P43*Inputs!$L$11</f>
        <v>1.55</v>
      </c>
      <c r="Q46" s="249">
        <f>Q43*Inputs!$L$11</f>
        <v>1.55</v>
      </c>
      <c r="R46" s="249">
        <f>R43*Inputs!$L$11</f>
        <v>1.55</v>
      </c>
      <c r="S46" s="249">
        <f>S43*Inputs!$L$11</f>
        <v>1.55</v>
      </c>
      <c r="T46" s="249">
        <f>T43*Inputs!$L$11</f>
        <v>1.55</v>
      </c>
      <c r="U46" s="249">
        <f>U43*Inputs!$L$11</f>
        <v>1.55</v>
      </c>
      <c r="V46" s="249">
        <f>V43*Inputs!$L$11</f>
        <v>1.55</v>
      </c>
      <c r="W46" s="249">
        <f>W43*Inputs!$L$11</f>
        <v>1.55</v>
      </c>
      <c r="X46" s="249">
        <f>X43*Inputs!$L$11</f>
        <v>1.55</v>
      </c>
      <c r="Y46" s="249">
        <f>Y43*Inputs!$L$11</f>
        <v>1.55</v>
      </c>
      <c r="Z46" s="249">
        <f>Z43*Inputs!$L$11</f>
        <v>1.55</v>
      </c>
      <c r="AA46" s="249">
        <f>AA43*Inputs!$L$11</f>
        <v>1.55</v>
      </c>
    </row>
    <row r="47" spans="1:27" ht="15" customHeight="1" outlineLevel="1">
      <c r="A47" s="66"/>
      <c r="B47" s="132" t="s">
        <v>97</v>
      </c>
      <c r="C47" s="104"/>
      <c r="D47" s="261" t="s">
        <v>123</v>
      </c>
      <c r="E47" s="96"/>
      <c r="F47" s="285"/>
      <c r="G47" s="285"/>
      <c r="H47" s="123">
        <f>Inputs!$F$88</f>
        <v>0.02</v>
      </c>
      <c r="I47" s="123">
        <f>Inputs!$F$88</f>
        <v>0.02</v>
      </c>
      <c r="J47" s="123">
        <f>Inputs!$F$88</f>
        <v>0.02</v>
      </c>
      <c r="K47" s="123">
        <f>Inputs!$F$88</f>
        <v>0.02</v>
      </c>
      <c r="L47" s="123">
        <f>Inputs!$F$88</f>
        <v>0.02</v>
      </c>
      <c r="M47" s="123">
        <f>Inputs!$F$88</f>
        <v>0.02</v>
      </c>
      <c r="N47" s="123">
        <f>Inputs!$F$88</f>
        <v>0.02</v>
      </c>
      <c r="O47" s="123">
        <f>Inputs!$F$88</f>
        <v>0.02</v>
      </c>
      <c r="P47" s="123">
        <f>Inputs!$F$88</f>
        <v>0.02</v>
      </c>
      <c r="Q47" s="123">
        <f>Inputs!$F$88</f>
        <v>0.02</v>
      </c>
      <c r="R47" s="123">
        <f>Inputs!$F$88</f>
        <v>0.02</v>
      </c>
      <c r="S47" s="123">
        <f>Inputs!$F$88</f>
        <v>0.02</v>
      </c>
      <c r="T47" s="123">
        <f>Inputs!$F$88</f>
        <v>0.02</v>
      </c>
      <c r="U47" s="123">
        <f>Inputs!$F$88</f>
        <v>0.02</v>
      </c>
      <c r="V47" s="123">
        <f>Inputs!$F$88</f>
        <v>0.02</v>
      </c>
      <c r="W47" s="123">
        <f>Inputs!$F$88</f>
        <v>0.02</v>
      </c>
      <c r="X47" s="123">
        <f>Inputs!$F$88</f>
        <v>0.02</v>
      </c>
      <c r="Y47" s="123">
        <f>Inputs!$F$88</f>
        <v>0.02</v>
      </c>
      <c r="Z47" s="123">
        <f>Inputs!$F$88</f>
        <v>0.02</v>
      </c>
      <c r="AA47" s="123">
        <f>Inputs!$F$88</f>
        <v>0.02</v>
      </c>
    </row>
    <row r="48" spans="1:27" ht="15" customHeight="1" outlineLevel="1">
      <c r="A48" s="66"/>
      <c r="B48" s="68"/>
      <c r="C48" s="104"/>
      <c r="D48" s="261"/>
      <c r="E48" s="96"/>
      <c r="F48" s="285"/>
      <c r="G48" s="285"/>
      <c r="H48" s="148"/>
      <c r="I48" s="148"/>
      <c r="J48" s="148"/>
      <c r="K48" s="148"/>
      <c r="L48" s="148"/>
      <c r="M48" s="148"/>
      <c r="N48" s="148"/>
      <c r="O48" s="148"/>
      <c r="P48" s="148"/>
    </row>
    <row r="49" spans="1:27" ht="15" customHeight="1" outlineLevel="1">
      <c r="A49" s="66"/>
      <c r="B49" s="68"/>
      <c r="C49" s="104"/>
      <c r="D49" s="96"/>
      <c r="E49" s="96"/>
      <c r="F49" s="285"/>
      <c r="G49" s="148"/>
      <c r="H49" s="148"/>
      <c r="I49" s="148"/>
      <c r="J49" s="148"/>
      <c r="K49" s="148"/>
      <c r="L49" s="148"/>
      <c r="M49" s="148"/>
      <c r="N49" s="148"/>
      <c r="O49" s="148"/>
      <c r="P49" s="148"/>
    </row>
    <row r="50" spans="1:27" s="66" customFormat="1" ht="15" customHeight="1" outlineLevel="1">
      <c r="B50" s="78" t="s">
        <v>90</v>
      </c>
      <c r="C50" s="72"/>
      <c r="D50" s="261"/>
      <c r="E50" s="133"/>
      <c r="F50" s="285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1:27" s="66" customFormat="1" ht="15" customHeight="1" outlineLevel="1">
      <c r="B51" s="132" t="s">
        <v>156</v>
      </c>
      <c r="C51" s="104"/>
      <c r="D51" s="261" t="s">
        <v>142</v>
      </c>
      <c r="E51" s="96"/>
      <c r="F51" s="285"/>
      <c r="G51" s="285"/>
      <c r="H51" s="152">
        <f>Inputs!H$122</f>
        <v>108.24321599999999</v>
      </c>
      <c r="I51" s="152">
        <f>Inputs!I$122</f>
        <v>110.40808032</v>
      </c>
      <c r="J51" s="152">
        <f>Inputs!J$122</f>
        <v>112.61624192639999</v>
      </c>
      <c r="K51" s="152">
        <f>Inputs!K$122</f>
        <v>114.75595052300159</v>
      </c>
      <c r="L51" s="152">
        <f>Inputs!L$122</f>
        <v>116.93631358293861</v>
      </c>
      <c r="M51" s="152">
        <f>Inputs!M$122</f>
        <v>119.15810354101443</v>
      </c>
      <c r="N51" s="152">
        <f>Inputs!N$122</f>
        <v>121.42210750829369</v>
      </c>
      <c r="O51" s="152">
        <f>Inputs!O$122</f>
        <v>123.60770544344298</v>
      </c>
      <c r="P51" s="152">
        <f>Inputs!P$122</f>
        <v>125.83264414142495</v>
      </c>
      <c r="Q51" s="152">
        <f>Inputs!Q$122</f>
        <v>128.09763173597059</v>
      </c>
      <c r="R51" s="152">
        <f>Inputs!R$122</f>
        <v>130.27529147548208</v>
      </c>
      <c r="S51" s="152">
        <f>Inputs!S$122</f>
        <v>132.35969613908981</v>
      </c>
      <c r="T51" s="152">
        <f>Inputs!T$122</f>
        <v>134.47745127731525</v>
      </c>
      <c r="U51" s="152">
        <f>Inputs!U$122</f>
        <v>136.62909049775229</v>
      </c>
      <c r="V51" s="152">
        <f>Inputs!V$122</f>
        <v>138.81515594571633</v>
      </c>
      <c r="W51" s="152">
        <f>Inputs!W$122</f>
        <v>141.03619844084778</v>
      </c>
      <c r="X51" s="152">
        <f>Inputs!X$122</f>
        <v>143.29277761590134</v>
      </c>
      <c r="Y51" s="152">
        <f>Inputs!Y$122</f>
        <v>145.58546205775576</v>
      </c>
      <c r="Z51" s="152">
        <f>Inputs!Z$122</f>
        <v>147.91482945067986</v>
      </c>
      <c r="AA51" s="152">
        <f>Inputs!AA$122</f>
        <v>150.28146672189075</v>
      </c>
    </row>
    <row r="52" spans="1:27" s="66" customFormat="1" ht="15" customHeight="1" outlineLevel="1">
      <c r="B52" s="132" t="s">
        <v>157</v>
      </c>
      <c r="C52" s="104"/>
      <c r="D52" s="261" t="s">
        <v>143</v>
      </c>
      <c r="E52" s="96"/>
      <c r="F52" s="285"/>
      <c r="G52" s="285"/>
      <c r="H52" s="152">
        <f>Inputs!H$115</f>
        <v>54.121607999999995</v>
      </c>
      <c r="I52" s="152">
        <f>Inputs!I$115</f>
        <v>55.204040159999998</v>
      </c>
      <c r="J52" s="152">
        <f>Inputs!J$115</f>
        <v>56.308120963199997</v>
      </c>
      <c r="K52" s="152">
        <f>Inputs!K$115</f>
        <v>57.377975261500794</v>
      </c>
      <c r="L52" s="152">
        <f>Inputs!L$115</f>
        <v>58.468156791469305</v>
      </c>
      <c r="M52" s="152">
        <f>Inputs!M$115</f>
        <v>59.579051770507213</v>
      </c>
      <c r="N52" s="152">
        <f>Inputs!N$115</f>
        <v>60.711053754146846</v>
      </c>
      <c r="O52" s="152">
        <f>Inputs!O$115</f>
        <v>61.803852721721491</v>
      </c>
      <c r="P52" s="152">
        <f>Inputs!P$115</f>
        <v>62.916322070712475</v>
      </c>
      <c r="Q52" s="152">
        <f>Inputs!Q$115</f>
        <v>64.048815867985297</v>
      </c>
      <c r="R52" s="152">
        <f>Inputs!R$115</f>
        <v>65.137645737741039</v>
      </c>
      <c r="S52" s="152">
        <f>Inputs!S$115</f>
        <v>66.179848069544903</v>
      </c>
      <c r="T52" s="152">
        <f>Inputs!T$115</f>
        <v>67.238725638657627</v>
      </c>
      <c r="U52" s="152">
        <f>Inputs!U$115</f>
        <v>68.314545248876144</v>
      </c>
      <c r="V52" s="152">
        <f>Inputs!V$115</f>
        <v>69.407577972858164</v>
      </c>
      <c r="W52" s="152">
        <f>Inputs!W$115</f>
        <v>70.518099220423892</v>
      </c>
      <c r="X52" s="152">
        <f>Inputs!X$115</f>
        <v>71.646388807950672</v>
      </c>
      <c r="Y52" s="152">
        <f>Inputs!Y$115</f>
        <v>72.792731028877881</v>
      </c>
      <c r="Z52" s="152">
        <f>Inputs!Z$115</f>
        <v>73.95741472533993</v>
      </c>
      <c r="AA52" s="152">
        <f>Inputs!AA$115</f>
        <v>75.140733360945376</v>
      </c>
    </row>
    <row r="53" spans="1:27" s="66" customFormat="1" ht="15" customHeight="1" outlineLevel="1">
      <c r="B53" s="132" t="s">
        <v>268</v>
      </c>
      <c r="C53" s="104"/>
      <c r="D53" s="261" t="s">
        <v>142</v>
      </c>
      <c r="E53" s="96"/>
      <c r="F53" s="285"/>
      <c r="G53" s="285"/>
      <c r="H53" s="152">
        <f>Inputs!$L$12</f>
        <v>385</v>
      </c>
      <c r="I53" s="152">
        <f>H53*(1+I$47)</f>
        <v>392.7</v>
      </c>
      <c r="J53" s="152">
        <f t="shared" ref="J53:AA53" si="50">I53*(1+J$47)</f>
        <v>400.55399999999997</v>
      </c>
      <c r="K53" s="152">
        <f t="shared" si="50"/>
        <v>408.56507999999997</v>
      </c>
      <c r="L53" s="152">
        <f t="shared" si="50"/>
        <v>416.73638159999996</v>
      </c>
      <c r="M53" s="152">
        <f t="shared" si="50"/>
        <v>425.07110923199997</v>
      </c>
      <c r="N53" s="152">
        <f t="shared" si="50"/>
        <v>433.57253141664</v>
      </c>
      <c r="O53" s="152">
        <f t="shared" si="50"/>
        <v>442.24398204497282</v>
      </c>
      <c r="P53" s="152">
        <f t="shared" si="50"/>
        <v>451.0888616858723</v>
      </c>
      <c r="Q53" s="152">
        <f t="shared" si="50"/>
        <v>460.11063891958975</v>
      </c>
      <c r="R53" s="152">
        <f t="shared" si="50"/>
        <v>469.31285169798156</v>
      </c>
      <c r="S53" s="152">
        <f t="shared" si="50"/>
        <v>478.69910873194118</v>
      </c>
      <c r="T53" s="152">
        <f t="shared" si="50"/>
        <v>488.27309090658002</v>
      </c>
      <c r="U53" s="152">
        <f t="shared" si="50"/>
        <v>498.03855272471162</v>
      </c>
      <c r="V53" s="152">
        <f t="shared" si="50"/>
        <v>507.99932377920584</v>
      </c>
      <c r="W53" s="152">
        <f t="shared" si="50"/>
        <v>518.15931025478994</v>
      </c>
      <c r="X53" s="152">
        <f t="shared" si="50"/>
        <v>528.5224964598857</v>
      </c>
      <c r="Y53" s="152">
        <f t="shared" si="50"/>
        <v>539.09294638908341</v>
      </c>
      <c r="Z53" s="152">
        <f t="shared" si="50"/>
        <v>549.87480531686504</v>
      </c>
      <c r="AA53" s="152">
        <f t="shared" si="50"/>
        <v>560.87230142320232</v>
      </c>
    </row>
    <row r="54" spans="1:27" s="66" customFormat="1" ht="15" customHeight="1" outlineLevel="1">
      <c r="B54" s="132" t="s">
        <v>163</v>
      </c>
      <c r="C54" s="104"/>
      <c r="D54" s="261" t="s">
        <v>142</v>
      </c>
      <c r="E54" s="96"/>
      <c r="F54" s="285"/>
      <c r="G54" s="285"/>
      <c r="H54" s="152">
        <f>Inputs!$L$13</f>
        <v>130</v>
      </c>
      <c r="I54" s="152">
        <f>H54*(1+I$47)</f>
        <v>132.6</v>
      </c>
      <c r="J54" s="152">
        <f t="shared" ref="J54:AA54" si="51">I54*(1+J$47)</f>
        <v>135.25200000000001</v>
      </c>
      <c r="K54" s="152">
        <f t="shared" si="51"/>
        <v>137.95704000000001</v>
      </c>
      <c r="L54" s="152">
        <f t="shared" si="51"/>
        <v>140.71618080000002</v>
      </c>
      <c r="M54" s="152">
        <f t="shared" si="51"/>
        <v>143.53050441600001</v>
      </c>
      <c r="N54" s="152">
        <f t="shared" si="51"/>
        <v>146.40111450432002</v>
      </c>
      <c r="O54" s="152">
        <f t="shared" si="51"/>
        <v>149.32913679440642</v>
      </c>
      <c r="P54" s="152">
        <f t="shared" si="51"/>
        <v>152.31571953029456</v>
      </c>
      <c r="Q54" s="152">
        <f t="shared" si="51"/>
        <v>155.36203392090044</v>
      </c>
      <c r="R54" s="152">
        <f t="shared" si="51"/>
        <v>158.46927459931845</v>
      </c>
      <c r="S54" s="152">
        <f t="shared" si="51"/>
        <v>161.63866009130481</v>
      </c>
      <c r="T54" s="152">
        <f t="shared" si="51"/>
        <v>164.87143329313091</v>
      </c>
      <c r="U54" s="152">
        <f t="shared" si="51"/>
        <v>168.16886195899352</v>
      </c>
      <c r="V54" s="152">
        <f t="shared" si="51"/>
        <v>171.53223919817339</v>
      </c>
      <c r="W54" s="152">
        <f t="shared" si="51"/>
        <v>174.96288398213684</v>
      </c>
      <c r="X54" s="152">
        <f t="shared" si="51"/>
        <v>178.46214166177958</v>
      </c>
      <c r="Y54" s="152">
        <f t="shared" si="51"/>
        <v>182.03138449501517</v>
      </c>
      <c r="Z54" s="152">
        <f t="shared" si="51"/>
        <v>185.67201218491547</v>
      </c>
      <c r="AA54" s="152">
        <f t="shared" si="51"/>
        <v>189.38545242861377</v>
      </c>
    </row>
    <row r="55" spans="1:27" s="66" customFormat="1" ht="15" customHeight="1" outlineLevel="1">
      <c r="B55" s="132" t="s">
        <v>166</v>
      </c>
      <c r="C55" s="104"/>
      <c r="D55" s="261" t="s">
        <v>142</v>
      </c>
      <c r="E55" s="96"/>
      <c r="F55" s="285"/>
      <c r="G55" s="285"/>
      <c r="H55" s="152">
        <f>Inputs!$L$19</f>
        <v>49</v>
      </c>
      <c r="I55" s="152">
        <f>H55*(1+I$47)</f>
        <v>49.980000000000004</v>
      </c>
      <c r="J55" s="152">
        <f t="shared" ref="J55:AA55" si="52">I55*(1+J$47)</f>
        <v>50.979600000000005</v>
      </c>
      <c r="K55" s="152">
        <f t="shared" si="52"/>
        <v>51.999192000000008</v>
      </c>
      <c r="L55" s="152">
        <f t="shared" si="52"/>
        <v>53.039175840000006</v>
      </c>
      <c r="M55" s="152">
        <f t="shared" si="52"/>
        <v>54.099959356800007</v>
      </c>
      <c r="N55" s="152">
        <f t="shared" si="52"/>
        <v>55.181958543936005</v>
      </c>
      <c r="O55" s="152">
        <f t="shared" si="52"/>
        <v>56.285597714814728</v>
      </c>
      <c r="P55" s="152">
        <f t="shared" si="52"/>
        <v>57.41130966911102</v>
      </c>
      <c r="Q55" s="152">
        <f t="shared" si="52"/>
        <v>58.559535862493242</v>
      </c>
      <c r="R55" s="152">
        <f t="shared" si="52"/>
        <v>59.730726579743106</v>
      </c>
      <c r="S55" s="152">
        <f t="shared" si="52"/>
        <v>60.925341111337971</v>
      </c>
      <c r="T55" s="152">
        <f t="shared" si="52"/>
        <v>62.143847933564729</v>
      </c>
      <c r="U55" s="152">
        <f t="shared" si="52"/>
        <v>63.386724892236025</v>
      </c>
      <c r="V55" s="152">
        <f t="shared" si="52"/>
        <v>64.654459390080746</v>
      </c>
      <c r="W55" s="152">
        <f t="shared" si="52"/>
        <v>65.947548577882358</v>
      </c>
      <c r="X55" s="152">
        <f t="shared" si="52"/>
        <v>67.266499549440013</v>
      </c>
      <c r="Y55" s="152">
        <f t="shared" si="52"/>
        <v>68.611829540428815</v>
      </c>
      <c r="Z55" s="152">
        <f t="shared" si="52"/>
        <v>69.984066131237398</v>
      </c>
      <c r="AA55" s="152">
        <f t="shared" si="52"/>
        <v>71.383747453862142</v>
      </c>
    </row>
    <row r="56" spans="1:27" s="66" customFormat="1" ht="15" customHeight="1" outlineLevel="1">
      <c r="B56" s="132" t="s">
        <v>184</v>
      </c>
      <c r="C56" s="104"/>
      <c r="D56" s="261" t="s">
        <v>142</v>
      </c>
      <c r="E56" s="96"/>
      <c r="F56" s="285"/>
      <c r="G56" s="285"/>
      <c r="H56" s="152">
        <f>Inputs!$L$14</f>
        <v>95</v>
      </c>
      <c r="I56" s="152">
        <f>H56*(1+I$47)</f>
        <v>96.9</v>
      </c>
      <c r="J56" s="152">
        <f t="shared" ref="J56:AA56" si="53">I56*(1+J$47)</f>
        <v>98.838000000000008</v>
      </c>
      <c r="K56" s="152">
        <f t="shared" si="53"/>
        <v>100.81476000000001</v>
      </c>
      <c r="L56" s="152">
        <f t="shared" si="53"/>
        <v>102.83105520000001</v>
      </c>
      <c r="M56" s="152">
        <f t="shared" si="53"/>
        <v>104.88767630400001</v>
      </c>
      <c r="N56" s="152">
        <f t="shared" si="53"/>
        <v>106.98542983008001</v>
      </c>
      <c r="O56" s="152">
        <f t="shared" si="53"/>
        <v>109.12513842668162</v>
      </c>
      <c r="P56" s="152">
        <f t="shared" si="53"/>
        <v>111.30764119521525</v>
      </c>
      <c r="Q56" s="152">
        <f t="shared" si="53"/>
        <v>113.53379401911955</v>
      </c>
      <c r="R56" s="152">
        <f t="shared" si="53"/>
        <v>115.80446989950195</v>
      </c>
      <c r="S56" s="152">
        <f t="shared" si="53"/>
        <v>118.12055929749199</v>
      </c>
      <c r="T56" s="152">
        <f t="shared" si="53"/>
        <v>120.48297048344183</v>
      </c>
      <c r="U56" s="152">
        <f t="shared" si="53"/>
        <v>122.89262989311067</v>
      </c>
      <c r="V56" s="152">
        <f t="shared" si="53"/>
        <v>125.35048249097288</v>
      </c>
      <c r="W56" s="152">
        <f t="shared" si="53"/>
        <v>127.85749214079235</v>
      </c>
      <c r="X56" s="152">
        <f t="shared" si="53"/>
        <v>130.41464198360819</v>
      </c>
      <c r="Y56" s="152">
        <f t="shared" si="53"/>
        <v>133.02293482328037</v>
      </c>
      <c r="Z56" s="152">
        <f t="shared" si="53"/>
        <v>135.68339351974598</v>
      </c>
      <c r="AA56" s="152">
        <f t="shared" si="53"/>
        <v>138.39706139014089</v>
      </c>
    </row>
    <row r="57" spans="1:27" ht="15" customHeight="1" outlineLevel="1"/>
    <row r="58" spans="1:27" s="66" customFormat="1" ht="15" customHeight="1" outlineLevel="1">
      <c r="B58" s="132"/>
      <c r="C58" s="104"/>
      <c r="D58" s="261"/>
      <c r="E58" s="96"/>
      <c r="F58" s="285"/>
      <c r="G58" s="285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</row>
    <row r="59" spans="1:27" s="66" customFormat="1" ht="15" customHeight="1" outlineLevel="1">
      <c r="B59" s="132" t="s">
        <v>139</v>
      </c>
      <c r="C59" s="104"/>
      <c r="D59" s="261" t="s">
        <v>144</v>
      </c>
      <c r="E59" s="96"/>
      <c r="F59" s="90"/>
      <c r="G59" s="307">
        <f>H59/$H$34</f>
        <v>0.15463917525773199</v>
      </c>
      <c r="H59" s="90">
        <f>H$51*H$44</f>
        <v>284.138442</v>
      </c>
      <c r="I59" s="90">
        <f t="shared" ref="I59:AA59" si="54">I$51*I$44</f>
        <v>351.92575601999999</v>
      </c>
      <c r="J59" s="90">
        <f t="shared" si="54"/>
        <v>422.31090722399995</v>
      </c>
      <c r="K59" s="90">
        <f t="shared" si="54"/>
        <v>731.56918458413509</v>
      </c>
      <c r="L59" s="90">
        <f t="shared" si="54"/>
        <v>811.24567548163657</v>
      </c>
      <c r="M59" s="90">
        <f t="shared" si="54"/>
        <v>893.68577655760816</v>
      </c>
      <c r="N59" s="90">
        <f t="shared" si="54"/>
        <v>910.66580631220268</v>
      </c>
      <c r="O59" s="90">
        <f t="shared" si="54"/>
        <v>927.05779082582239</v>
      </c>
      <c r="P59" s="90">
        <f t="shared" si="54"/>
        <v>943.74483106068715</v>
      </c>
      <c r="Q59" s="90">
        <f t="shared" si="54"/>
        <v>960.73223801977952</v>
      </c>
      <c r="R59" s="90">
        <f t="shared" si="54"/>
        <v>977.06468606611554</v>
      </c>
      <c r="S59" s="90">
        <f t="shared" si="54"/>
        <v>992.69772104317349</v>
      </c>
      <c r="T59" s="90">
        <f t="shared" si="54"/>
        <v>1008.5808845798645</v>
      </c>
      <c r="U59" s="90">
        <f t="shared" si="54"/>
        <v>1024.7181787331422</v>
      </c>
      <c r="V59" s="90">
        <f t="shared" si="54"/>
        <v>1041.1136695928724</v>
      </c>
      <c r="W59" s="90">
        <f t="shared" si="54"/>
        <v>1057.7714883063584</v>
      </c>
      <c r="X59" s="90">
        <f t="shared" si="54"/>
        <v>1074.6958321192601</v>
      </c>
      <c r="Y59" s="90">
        <f t="shared" si="54"/>
        <v>1091.8909654331683</v>
      </c>
      <c r="Z59" s="90">
        <f t="shared" si="54"/>
        <v>1109.3612208800989</v>
      </c>
      <c r="AA59" s="90">
        <f t="shared" si="54"/>
        <v>1127.1110004141806</v>
      </c>
    </row>
    <row r="60" spans="1:27" s="66" customFormat="1" ht="15" customHeight="1" outlineLevel="1">
      <c r="B60" s="132" t="s">
        <v>140</v>
      </c>
      <c r="C60" s="104"/>
      <c r="D60" s="261" t="s">
        <v>144</v>
      </c>
      <c r="E60" s="96"/>
      <c r="F60" s="90"/>
      <c r="G60" s="307">
        <f t="shared" ref="G60:G64" si="55">H60/$H$34</f>
        <v>0.14432989690721648</v>
      </c>
      <c r="H60" s="90">
        <f>H$45*H$52</f>
        <v>265.19587919999992</v>
      </c>
      <c r="I60" s="90">
        <f t="shared" ref="I60:AA60" si="56">I$45*I$52</f>
        <v>328.46403895200001</v>
      </c>
      <c r="J60" s="90">
        <f t="shared" si="56"/>
        <v>394.15684674239998</v>
      </c>
      <c r="K60" s="90">
        <f t="shared" si="56"/>
        <v>682.79790561185951</v>
      </c>
      <c r="L60" s="90">
        <f t="shared" si="56"/>
        <v>757.16263044952757</v>
      </c>
      <c r="M60" s="90">
        <f t="shared" si="56"/>
        <v>834.10672478710103</v>
      </c>
      <c r="N60" s="90">
        <f t="shared" si="56"/>
        <v>849.95475255805582</v>
      </c>
      <c r="O60" s="90">
        <f t="shared" si="56"/>
        <v>865.25393810410083</v>
      </c>
      <c r="P60" s="90">
        <f t="shared" si="56"/>
        <v>880.82850898997469</v>
      </c>
      <c r="Q60" s="90">
        <f t="shared" si="56"/>
        <v>896.68342215179416</v>
      </c>
      <c r="R60" s="90">
        <f t="shared" si="56"/>
        <v>911.92704032837457</v>
      </c>
      <c r="S60" s="90">
        <f t="shared" si="56"/>
        <v>926.51787297362864</v>
      </c>
      <c r="T60" s="90">
        <f t="shared" si="56"/>
        <v>941.34215894120678</v>
      </c>
      <c r="U60" s="90">
        <f t="shared" si="56"/>
        <v>956.40363348426604</v>
      </c>
      <c r="V60" s="90">
        <f t="shared" si="56"/>
        <v>971.70609162001426</v>
      </c>
      <c r="W60" s="90">
        <f t="shared" si="56"/>
        <v>987.25338908593449</v>
      </c>
      <c r="X60" s="90">
        <f t="shared" si="56"/>
        <v>1003.0494433113095</v>
      </c>
      <c r="Y60" s="90">
        <f t="shared" si="56"/>
        <v>1019.0982344042903</v>
      </c>
      <c r="Z60" s="90">
        <f t="shared" si="56"/>
        <v>1035.403806154759</v>
      </c>
      <c r="AA60" s="90">
        <f t="shared" si="56"/>
        <v>1051.9702670532351</v>
      </c>
    </row>
    <row r="61" spans="1:27" s="66" customFormat="1" ht="15" customHeight="1" outlineLevel="1">
      <c r="B61" s="132" t="s">
        <v>269</v>
      </c>
      <c r="C61" s="104"/>
      <c r="D61" s="261" t="s">
        <v>144</v>
      </c>
      <c r="E61" s="96"/>
      <c r="F61" s="90"/>
      <c r="G61" s="307">
        <f t="shared" si="55"/>
        <v>0.11367108411986029</v>
      </c>
      <c r="H61" s="90">
        <f>H$46*H$53</f>
        <v>208.86249999999998</v>
      </c>
      <c r="I61" s="90">
        <f t="shared" ref="I61:AA61" si="57">I$46*I$53</f>
        <v>258.691125</v>
      </c>
      <c r="J61" s="90">
        <f t="shared" si="57"/>
        <v>310.42935</v>
      </c>
      <c r="K61" s="90">
        <f t="shared" si="57"/>
        <v>538.28449289999992</v>
      </c>
      <c r="L61" s="90">
        <f t="shared" si="57"/>
        <v>597.49578711899994</v>
      </c>
      <c r="M61" s="90">
        <f t="shared" si="57"/>
        <v>658.86021930959998</v>
      </c>
      <c r="N61" s="90">
        <f t="shared" si="57"/>
        <v>672.03742369579197</v>
      </c>
      <c r="O61" s="90">
        <f t="shared" si="57"/>
        <v>685.47817216970793</v>
      </c>
      <c r="P61" s="90">
        <f t="shared" si="57"/>
        <v>699.18773561310206</v>
      </c>
      <c r="Q61" s="90">
        <f t="shared" si="57"/>
        <v>713.17149032536418</v>
      </c>
      <c r="R61" s="90">
        <f t="shared" si="57"/>
        <v>727.43492013187142</v>
      </c>
      <c r="S61" s="90">
        <f t="shared" si="57"/>
        <v>741.98361853450888</v>
      </c>
      <c r="T61" s="90">
        <f t="shared" si="57"/>
        <v>756.82329090519909</v>
      </c>
      <c r="U61" s="90">
        <f t="shared" si="57"/>
        <v>771.95975672330303</v>
      </c>
      <c r="V61" s="90">
        <f t="shared" si="57"/>
        <v>787.39895185776902</v>
      </c>
      <c r="W61" s="90">
        <f t="shared" si="57"/>
        <v>803.14693089492448</v>
      </c>
      <c r="X61" s="90">
        <f t="shared" si="57"/>
        <v>819.20986951282282</v>
      </c>
      <c r="Y61" s="90">
        <f t="shared" si="57"/>
        <v>835.59406690307935</v>
      </c>
      <c r="Z61" s="90">
        <f t="shared" si="57"/>
        <v>852.30594824114087</v>
      </c>
      <c r="AA61" s="90">
        <f t="shared" si="57"/>
        <v>869.35206720596364</v>
      </c>
    </row>
    <row r="62" spans="1:27" s="66" customFormat="1" ht="15" customHeight="1" outlineLevel="1">
      <c r="B62" s="132" t="s">
        <v>163</v>
      </c>
      <c r="C62" s="104"/>
      <c r="D62" s="261" t="s">
        <v>144</v>
      </c>
      <c r="E62" s="96"/>
      <c r="F62" s="90"/>
      <c r="G62" s="307">
        <f t="shared" si="55"/>
        <v>0.12381433544685244</v>
      </c>
      <c r="H62" s="90">
        <f>H$54*H$43</f>
        <v>227.5</v>
      </c>
      <c r="I62" s="90">
        <f t="shared" ref="I62:AA62" si="58">I$54*I$43</f>
        <v>281.77499999999998</v>
      </c>
      <c r="J62" s="90">
        <f t="shared" si="58"/>
        <v>338.13</v>
      </c>
      <c r="K62" s="90">
        <f t="shared" si="58"/>
        <v>586.31742000000008</v>
      </c>
      <c r="L62" s="90">
        <f t="shared" si="58"/>
        <v>650.81233620000012</v>
      </c>
      <c r="M62" s="90">
        <f t="shared" si="58"/>
        <v>717.65252208000004</v>
      </c>
      <c r="N62" s="90">
        <f t="shared" si="58"/>
        <v>732.00557252160013</v>
      </c>
      <c r="O62" s="90">
        <f t="shared" si="58"/>
        <v>746.64568397203209</v>
      </c>
      <c r="P62" s="90">
        <f t="shared" si="58"/>
        <v>761.57859765147282</v>
      </c>
      <c r="Q62" s="90">
        <f t="shared" si="58"/>
        <v>776.81016960450222</v>
      </c>
      <c r="R62" s="90">
        <f t="shared" si="58"/>
        <v>792.34637299659221</v>
      </c>
      <c r="S62" s="90">
        <f t="shared" si="58"/>
        <v>808.19330045652407</v>
      </c>
      <c r="T62" s="90">
        <f t="shared" si="58"/>
        <v>824.35716646565447</v>
      </c>
      <c r="U62" s="90">
        <f t="shared" si="58"/>
        <v>840.84430979496756</v>
      </c>
      <c r="V62" s="90">
        <f t="shared" si="58"/>
        <v>857.66119599086687</v>
      </c>
      <c r="W62" s="90">
        <f t="shared" si="58"/>
        <v>874.81441991068425</v>
      </c>
      <c r="X62" s="90">
        <f t="shared" si="58"/>
        <v>892.31070830889792</v>
      </c>
      <c r="Y62" s="90">
        <f t="shared" si="58"/>
        <v>910.15692247507582</v>
      </c>
      <c r="Z62" s="90">
        <f t="shared" si="58"/>
        <v>928.3600609245774</v>
      </c>
      <c r="AA62" s="90">
        <f t="shared" si="58"/>
        <v>946.9272621430689</v>
      </c>
    </row>
    <row r="63" spans="1:27" s="66" customFormat="1" ht="15" customHeight="1" outlineLevel="1">
      <c r="B63" s="132" t="s">
        <v>166</v>
      </c>
      <c r="C63" s="104"/>
      <c r="D63" s="261" t="s">
        <v>144</v>
      </c>
      <c r="E63" s="96"/>
      <c r="F63" s="90"/>
      <c r="G63" s="307">
        <f t="shared" si="55"/>
        <v>4.6668480283813617E-2</v>
      </c>
      <c r="H63" s="90">
        <f>H$55*H$43</f>
        <v>85.75</v>
      </c>
      <c r="I63" s="90">
        <f t="shared" ref="I63:AA63" si="59">I$55*I$43</f>
        <v>106.20750000000001</v>
      </c>
      <c r="J63" s="90">
        <f t="shared" si="59"/>
        <v>127.44900000000001</v>
      </c>
      <c r="K63" s="90">
        <f t="shared" si="59"/>
        <v>220.99656600000003</v>
      </c>
      <c r="L63" s="90">
        <f t="shared" si="59"/>
        <v>245.30618826000003</v>
      </c>
      <c r="M63" s="90">
        <f t="shared" si="59"/>
        <v>270.49979678400001</v>
      </c>
      <c r="N63" s="90">
        <f t="shared" si="59"/>
        <v>275.90979271968001</v>
      </c>
      <c r="O63" s="90">
        <f t="shared" si="59"/>
        <v>281.42798857407365</v>
      </c>
      <c r="P63" s="90">
        <f t="shared" si="59"/>
        <v>287.05654834555509</v>
      </c>
      <c r="Q63" s="90">
        <f t="shared" si="59"/>
        <v>292.79767931246619</v>
      </c>
      <c r="R63" s="90">
        <f t="shared" si="59"/>
        <v>298.6536328987155</v>
      </c>
      <c r="S63" s="90">
        <f t="shared" si="59"/>
        <v>304.62670555668984</v>
      </c>
      <c r="T63" s="90">
        <f t="shared" si="59"/>
        <v>310.71923966782367</v>
      </c>
      <c r="U63" s="90">
        <f t="shared" si="59"/>
        <v>316.9336244611801</v>
      </c>
      <c r="V63" s="90">
        <f t="shared" si="59"/>
        <v>323.27229695040376</v>
      </c>
      <c r="W63" s="90">
        <f t="shared" si="59"/>
        <v>329.73774288941178</v>
      </c>
      <c r="X63" s="90">
        <f t="shared" si="59"/>
        <v>336.33249774720008</v>
      </c>
      <c r="Y63" s="90">
        <f t="shared" si="59"/>
        <v>343.05914770214406</v>
      </c>
      <c r="Z63" s="90">
        <f t="shared" si="59"/>
        <v>349.92033065618699</v>
      </c>
      <c r="AA63" s="90">
        <f t="shared" si="59"/>
        <v>356.91873726931072</v>
      </c>
    </row>
    <row r="64" spans="1:27" s="66" customFormat="1" ht="15" customHeight="1" outlineLevel="1">
      <c r="B64" s="132" t="s">
        <v>184</v>
      </c>
      <c r="C64" s="104"/>
      <c r="D64" s="261" t="s">
        <v>144</v>
      </c>
      <c r="E64" s="96"/>
      <c r="F64" s="90"/>
      <c r="G64" s="307">
        <f t="shared" si="55"/>
        <v>9.0479706672699861E-2</v>
      </c>
      <c r="H64" s="90">
        <f>H$43*H$56</f>
        <v>166.25</v>
      </c>
      <c r="I64" s="90">
        <f t="shared" ref="I64:AA64" si="60">I$43*I$56</f>
        <v>205.91250000000002</v>
      </c>
      <c r="J64" s="90">
        <f t="shared" si="60"/>
        <v>247.09500000000003</v>
      </c>
      <c r="K64" s="90">
        <f t="shared" si="60"/>
        <v>428.46273000000002</v>
      </c>
      <c r="L64" s="90">
        <f t="shared" si="60"/>
        <v>475.59363030000003</v>
      </c>
      <c r="M64" s="90">
        <f t="shared" si="60"/>
        <v>524.43838152000001</v>
      </c>
      <c r="N64" s="90">
        <f t="shared" si="60"/>
        <v>534.92714915040006</v>
      </c>
      <c r="O64" s="90">
        <f t="shared" si="60"/>
        <v>545.62569213340805</v>
      </c>
      <c r="P64" s="90">
        <f t="shared" si="60"/>
        <v>556.53820597607626</v>
      </c>
      <c r="Q64" s="90">
        <f t="shared" si="60"/>
        <v>567.66897009559773</v>
      </c>
      <c r="R64" s="90">
        <f t="shared" si="60"/>
        <v>579.02234949750982</v>
      </c>
      <c r="S64" s="90">
        <f t="shared" si="60"/>
        <v>590.60279648745995</v>
      </c>
      <c r="T64" s="90">
        <f t="shared" si="60"/>
        <v>602.4148524172092</v>
      </c>
      <c r="U64" s="90">
        <f t="shared" si="60"/>
        <v>614.46314946555333</v>
      </c>
      <c r="V64" s="90">
        <f t="shared" si="60"/>
        <v>626.75241245486438</v>
      </c>
      <c r="W64" s="90">
        <f t="shared" si="60"/>
        <v>639.28746070396176</v>
      </c>
      <c r="X64" s="90">
        <f t="shared" si="60"/>
        <v>652.0732099180409</v>
      </c>
      <c r="Y64" s="90">
        <f t="shared" si="60"/>
        <v>665.11467411640183</v>
      </c>
      <c r="Z64" s="90">
        <f t="shared" si="60"/>
        <v>678.41696759872991</v>
      </c>
      <c r="AA64" s="90">
        <f t="shared" si="60"/>
        <v>691.9853069507044</v>
      </c>
    </row>
    <row r="65" spans="2:27" ht="15" customHeight="1" outlineLevel="1"/>
    <row r="66" spans="2:27" s="66" customFormat="1" ht="15" customHeight="1" outlineLevel="1">
      <c r="B66" s="132" t="s">
        <v>148</v>
      </c>
      <c r="C66" s="72"/>
      <c r="D66" s="261" t="s">
        <v>144</v>
      </c>
      <c r="E66" s="133"/>
      <c r="F66" s="90"/>
      <c r="G66" s="90"/>
      <c r="H66" s="90">
        <f>SUM(H59:H64)</f>
        <v>1237.6968211999999</v>
      </c>
      <c r="I66" s="90">
        <f t="shared" ref="I66:AA66" si="61">SUM(I59:I64)</f>
        <v>1532.9759199719997</v>
      </c>
      <c r="J66" s="90">
        <f t="shared" si="61"/>
        <v>1839.5711039664</v>
      </c>
      <c r="K66" s="90">
        <f t="shared" si="61"/>
        <v>3188.4282990959946</v>
      </c>
      <c r="L66" s="90">
        <f t="shared" si="61"/>
        <v>3537.6162478101642</v>
      </c>
      <c r="M66" s="90">
        <f t="shared" si="61"/>
        <v>3899.243421038309</v>
      </c>
      <c r="N66" s="90">
        <f t="shared" si="61"/>
        <v>3975.5004969577308</v>
      </c>
      <c r="O66" s="90">
        <f t="shared" si="61"/>
        <v>4051.4892657791452</v>
      </c>
      <c r="P66" s="90">
        <f t="shared" si="61"/>
        <v>4128.9344276368683</v>
      </c>
      <c r="Q66" s="90">
        <f t="shared" si="61"/>
        <v>4207.8639695095044</v>
      </c>
      <c r="R66" s="90">
        <f t="shared" si="61"/>
        <v>4286.4490019191799</v>
      </c>
      <c r="S66" s="90">
        <f t="shared" si="61"/>
        <v>4364.6220150519848</v>
      </c>
      <c r="T66" s="90">
        <f t="shared" si="61"/>
        <v>4444.2375929769569</v>
      </c>
      <c r="U66" s="90">
        <f t="shared" si="61"/>
        <v>4525.3226526624121</v>
      </c>
      <c r="V66" s="90">
        <f t="shared" si="61"/>
        <v>4607.9046184667905</v>
      </c>
      <c r="W66" s="90">
        <f t="shared" si="61"/>
        <v>4692.0114317912758</v>
      </c>
      <c r="X66" s="90">
        <f t="shared" si="61"/>
        <v>4777.6715609175317</v>
      </c>
      <c r="Y66" s="90">
        <f t="shared" si="61"/>
        <v>4864.9140110341605</v>
      </c>
      <c r="Z66" s="90">
        <f t="shared" si="61"/>
        <v>4953.7683344554925</v>
      </c>
      <c r="AA66" s="90">
        <f t="shared" si="61"/>
        <v>5044.2646410364632</v>
      </c>
    </row>
    <row r="67" spans="2:27" s="66" customFormat="1" ht="15" customHeight="1" outlineLevel="1">
      <c r="B67" s="282"/>
      <c r="C67" s="262"/>
      <c r="D67" s="281"/>
      <c r="E67" s="237"/>
      <c r="F67" s="283"/>
      <c r="G67" s="283"/>
      <c r="H67" s="338"/>
      <c r="I67" s="338"/>
      <c r="J67" s="338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  <c r="AA67" s="338"/>
    </row>
    <row r="68" spans="2:27" s="66" customFormat="1" ht="15" customHeight="1" outlineLevel="1">
      <c r="B68" s="68"/>
      <c r="C68" s="72"/>
      <c r="D68" s="261"/>
      <c r="E68" s="133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</row>
    <row r="69" spans="2:27" s="66" customFormat="1" ht="15" customHeight="1" outlineLevel="1">
      <c r="B69" s="78" t="s">
        <v>141</v>
      </c>
      <c r="C69" s="72"/>
      <c r="D69" s="261"/>
      <c r="E69" s="133"/>
      <c r="F69" s="148"/>
      <c r="G69" s="148"/>
      <c r="H69" s="148"/>
      <c r="I69" s="148"/>
      <c r="J69" s="148"/>
      <c r="K69" s="148"/>
      <c r="L69" s="148"/>
      <c r="M69" s="148"/>
      <c r="N69" s="271"/>
      <c r="O69" s="62"/>
    </row>
    <row r="70" spans="2:27" s="66" customFormat="1" ht="15" customHeight="1" outlineLevel="1">
      <c r="B70" s="284"/>
      <c r="C70" s="72"/>
      <c r="D70" s="261"/>
      <c r="E70" s="133"/>
      <c r="F70" s="148"/>
      <c r="G70" s="148"/>
      <c r="H70" s="148"/>
      <c r="I70" s="148"/>
      <c r="J70" s="148"/>
      <c r="K70" s="148"/>
      <c r="L70" s="148"/>
      <c r="M70" s="148"/>
      <c r="N70" s="271"/>
      <c r="O70" s="62"/>
    </row>
    <row r="71" spans="2:27" s="66" customFormat="1" ht="15" customHeight="1" outlineLevel="1">
      <c r="B71" s="318" t="s">
        <v>168</v>
      </c>
      <c r="C71" s="104"/>
      <c r="D71" s="261"/>
      <c r="E71" s="96"/>
      <c r="F71" s="151"/>
      <c r="G71" s="151"/>
      <c r="H71" s="151"/>
      <c r="I71" s="151"/>
      <c r="J71" s="151"/>
      <c r="K71" s="151"/>
      <c r="L71" s="151"/>
      <c r="M71" s="151"/>
      <c r="N71" s="151"/>
      <c r="O71" s="151"/>
    </row>
    <row r="72" spans="2:27" s="66" customFormat="1" ht="15" customHeight="1" outlineLevel="1">
      <c r="B72" s="132" t="s">
        <v>167</v>
      </c>
      <c r="C72" s="104"/>
      <c r="D72" s="261" t="s">
        <v>144</v>
      </c>
      <c r="E72" s="96"/>
      <c r="F72" s="151"/>
      <c r="G72" s="151"/>
      <c r="H72" s="90">
        <f>Inputs!$L$17*Inputs!$L$20/1000000</f>
        <v>56.25</v>
      </c>
      <c r="I72" s="90">
        <f>H72*(1+I$47)</f>
        <v>57.375</v>
      </c>
      <c r="J72" s="90">
        <f>I72*(1+J$47)</f>
        <v>58.522500000000001</v>
      </c>
      <c r="K72" s="328">
        <f>J72*(1+K$47)*(1+Inputs!$L$18)</f>
        <v>83.570130000000006</v>
      </c>
      <c r="L72" s="90">
        <f>K72*(1+L47)</f>
        <v>85.241532600000014</v>
      </c>
      <c r="M72" s="90">
        <f t="shared" ref="M72:AA72" si="62">L72*(1+M47)</f>
        <v>86.946363252000012</v>
      </c>
      <c r="N72" s="90">
        <f t="shared" si="62"/>
        <v>88.685290517040016</v>
      </c>
      <c r="O72" s="90">
        <f t="shared" si="62"/>
        <v>90.458996327380817</v>
      </c>
      <c r="P72" s="90">
        <f t="shared" si="62"/>
        <v>92.268176253928431</v>
      </c>
      <c r="Q72" s="90">
        <f t="shared" si="62"/>
        <v>94.113539779006999</v>
      </c>
      <c r="R72" s="90">
        <f t="shared" si="62"/>
        <v>95.995810574587139</v>
      </c>
      <c r="S72" s="90">
        <f t="shared" si="62"/>
        <v>97.915726786078878</v>
      </c>
      <c r="T72" s="90">
        <f t="shared" si="62"/>
        <v>99.874041321800462</v>
      </c>
      <c r="U72" s="90">
        <f t="shared" si="62"/>
        <v>101.87152214823648</v>
      </c>
      <c r="V72" s="90">
        <f t="shared" si="62"/>
        <v>103.90895259120121</v>
      </c>
      <c r="W72" s="90">
        <f t="shared" si="62"/>
        <v>105.98713164302524</v>
      </c>
      <c r="X72" s="90">
        <f t="shared" si="62"/>
        <v>108.10687427588574</v>
      </c>
      <c r="Y72" s="90">
        <f t="shared" si="62"/>
        <v>110.26901176140346</v>
      </c>
      <c r="Z72" s="90">
        <f t="shared" si="62"/>
        <v>112.47439199663154</v>
      </c>
      <c r="AA72" s="90">
        <f t="shared" si="62"/>
        <v>114.72387983656417</v>
      </c>
    </row>
    <row r="73" spans="2:27" s="66" customFormat="1" ht="15" customHeight="1" outlineLevel="1">
      <c r="B73" s="132" t="s">
        <v>169</v>
      </c>
      <c r="C73" s="104"/>
      <c r="D73" s="261" t="s">
        <v>144</v>
      </c>
      <c r="E73" s="96"/>
      <c r="F73" s="151"/>
      <c r="G73" s="151"/>
      <c r="H73" s="356">
        <f>H$34*Inputs!$L$21</f>
        <v>64.310000705999997</v>
      </c>
      <c r="I73" s="356">
        <f>I$34*Inputs!$L$21</f>
        <v>79.652529445860011</v>
      </c>
      <c r="J73" s="356">
        <f>J$34*Inputs!$L$21</f>
        <v>95.583035335032008</v>
      </c>
      <c r="K73" s="357">
        <f>K$34*Inputs!$L$21</f>
        <v>165.57849211087594</v>
      </c>
      <c r="L73" s="356">
        <f>L$34*Inputs!$L$21</f>
        <v>183.61193788401042</v>
      </c>
      <c r="M73" s="356">
        <f>M$34*Inputs!$L$21</f>
        <v>202.27088076087199</v>
      </c>
      <c r="N73" s="356">
        <f>N$34*Inputs!$L$21</f>
        <v>206.11402749532857</v>
      </c>
      <c r="O73" s="356">
        <f>O$34*Inputs!$L$21</f>
        <v>209.82407999024448</v>
      </c>
      <c r="P73" s="356">
        <f>P$34*Inputs!$L$21</f>
        <v>213.60091343006886</v>
      </c>
      <c r="Q73" s="356">
        <f>Q$34*Inputs!$L$21</f>
        <v>217.4457298718101</v>
      </c>
      <c r="R73" s="356">
        <f>R$34*Inputs!$L$21</f>
        <v>221.14230727963087</v>
      </c>
      <c r="S73" s="356">
        <f>S$34*Inputs!$L$21</f>
        <v>224.68058419610497</v>
      </c>
      <c r="T73" s="356">
        <f>T$34*Inputs!$L$21</f>
        <v>228.27547354324267</v>
      </c>
      <c r="U73" s="226">
        <f>U$34*Inputs!$L$21</f>
        <v>231.92788111993451</v>
      </c>
      <c r="V73" s="226">
        <f>V$34*Inputs!$L$21</f>
        <v>235.6387272178535</v>
      </c>
      <c r="W73" s="226">
        <f>W$34*Inputs!$L$21</f>
        <v>239.40894685333913</v>
      </c>
      <c r="X73" s="226">
        <f>X$34*Inputs!$L$21</f>
        <v>243.23949000299254</v>
      </c>
      <c r="Y73" s="226">
        <f>Y$34*Inputs!$L$21</f>
        <v>247.13132184304044</v>
      </c>
      <c r="Z73" s="226">
        <f>Z$34*Inputs!$L$21</f>
        <v>251.08542299252912</v>
      </c>
      <c r="AA73" s="226">
        <f>AA$34*Inputs!$L$21</f>
        <v>255.10278976040959</v>
      </c>
    </row>
    <row r="74" spans="2:27" s="66" customFormat="1" ht="15" customHeight="1" outlineLevel="1">
      <c r="B74" s="132" t="s">
        <v>99</v>
      </c>
      <c r="C74" s="72"/>
      <c r="D74" s="261" t="s">
        <v>144</v>
      </c>
      <c r="E74" s="133"/>
      <c r="F74" s="151"/>
      <c r="G74" s="307">
        <f t="shared" ref="G74" si="63">H74/$H$34</f>
        <v>6.5613434588507477E-2</v>
      </c>
      <c r="H74" s="90">
        <f>SUM(H72:H73)</f>
        <v>120.560000706</v>
      </c>
      <c r="I74" s="90">
        <f t="shared" ref="I74:AA74" si="64">SUM(I72:I73)</f>
        <v>137.02752944586001</v>
      </c>
      <c r="J74" s="90">
        <f t="shared" si="64"/>
        <v>154.10553533503202</v>
      </c>
      <c r="K74" s="328">
        <f t="shared" si="64"/>
        <v>249.14862211087595</v>
      </c>
      <c r="L74" s="90">
        <f t="shared" si="64"/>
        <v>268.85347048401042</v>
      </c>
      <c r="M74" s="90">
        <f t="shared" si="64"/>
        <v>289.21724401287202</v>
      </c>
      <c r="N74" s="90">
        <f t="shared" si="64"/>
        <v>294.79931801236859</v>
      </c>
      <c r="O74" s="90">
        <f t="shared" si="64"/>
        <v>300.28307631762527</v>
      </c>
      <c r="P74" s="90">
        <f t="shared" si="64"/>
        <v>305.86908968399729</v>
      </c>
      <c r="Q74" s="90">
        <f t="shared" si="64"/>
        <v>311.5592696508171</v>
      </c>
      <c r="R74" s="90">
        <f t="shared" si="64"/>
        <v>317.13811785421802</v>
      </c>
      <c r="S74" s="90">
        <f t="shared" si="64"/>
        <v>322.59631098218387</v>
      </c>
      <c r="T74" s="90">
        <f t="shared" si="64"/>
        <v>328.1495148650431</v>
      </c>
      <c r="U74" s="90">
        <f t="shared" si="64"/>
        <v>333.79940326817098</v>
      </c>
      <c r="V74" s="90">
        <f t="shared" si="64"/>
        <v>339.54767980905473</v>
      </c>
      <c r="W74" s="90">
        <f t="shared" si="64"/>
        <v>345.39607849636434</v>
      </c>
      <c r="X74" s="90">
        <f t="shared" si="64"/>
        <v>351.3463642788783</v>
      </c>
      <c r="Y74" s="90">
        <f t="shared" si="64"/>
        <v>357.40033360444392</v>
      </c>
      <c r="Z74" s="90">
        <f t="shared" si="64"/>
        <v>363.55981498916066</v>
      </c>
      <c r="AA74" s="90">
        <f t="shared" si="64"/>
        <v>369.82666959697377</v>
      </c>
    </row>
    <row r="75" spans="2:27" s="66" customFormat="1" ht="15" customHeight="1" outlineLevel="1">
      <c r="B75" s="72"/>
      <c r="C75" s="72"/>
      <c r="D75" s="261"/>
      <c r="E75" s="133"/>
      <c r="F75" s="148"/>
      <c r="G75" s="148"/>
      <c r="H75" s="307"/>
      <c r="I75" s="148"/>
      <c r="J75" s="148"/>
      <c r="K75" s="148"/>
      <c r="L75" s="148"/>
      <c r="M75" s="248"/>
      <c r="N75" s="248"/>
      <c r="O75" s="248"/>
      <c r="P75" s="248"/>
    </row>
    <row r="76" spans="2:27" s="66" customFormat="1" ht="15" customHeight="1" outlineLevel="1">
      <c r="B76" s="318" t="s">
        <v>170</v>
      </c>
      <c r="C76" s="104"/>
      <c r="D76" s="228"/>
      <c r="E76" s="96"/>
      <c r="F76" s="228"/>
      <c r="G76" s="228"/>
      <c r="H76" s="228"/>
      <c r="I76" s="248"/>
      <c r="J76" s="248"/>
      <c r="K76" s="248"/>
      <c r="L76" s="248"/>
      <c r="M76" s="248"/>
      <c r="N76" s="248"/>
      <c r="O76" s="248"/>
      <c r="P76" s="248"/>
    </row>
    <row r="77" spans="2:27" s="66" customFormat="1" ht="15" customHeight="1" outlineLevel="1">
      <c r="B77" s="132" t="s">
        <v>173</v>
      </c>
      <c r="C77" s="104"/>
      <c r="D77" s="261" t="s">
        <v>144</v>
      </c>
      <c r="E77" s="96"/>
      <c r="F77" s="228"/>
      <c r="G77" s="307">
        <f t="shared" ref="G77" si="65">H77/$H$34</f>
        <v>0.02</v>
      </c>
      <c r="H77" s="90">
        <f>Inputs!$L$22*Model!H$34</f>
        <v>36.748571831999996</v>
      </c>
      <c r="I77" s="90">
        <f>Inputs!$L$22*Model!I$34</f>
        <v>45.515731111920005</v>
      </c>
      <c r="J77" s="90">
        <f>Inputs!$L$22*Model!J$34</f>
        <v>54.618877334303995</v>
      </c>
      <c r="K77" s="328">
        <f>Inputs!$L$22*Model!K$34</f>
        <v>94.616281206214808</v>
      </c>
      <c r="L77" s="90">
        <f>Inputs!$L$22*Model!L$34</f>
        <v>104.92110736229166</v>
      </c>
      <c r="M77" s="90">
        <f>Inputs!$L$22*Model!M$34</f>
        <v>115.583360434784</v>
      </c>
      <c r="N77" s="90">
        <f>Inputs!$L$22*Model!N$34</f>
        <v>117.77944428304488</v>
      </c>
      <c r="O77" s="90">
        <f>Inputs!$L$22*Model!O$34</f>
        <v>119.8994742801397</v>
      </c>
      <c r="P77" s="90">
        <f>Inputs!$L$22*Model!P$34</f>
        <v>122.0576648171822</v>
      </c>
      <c r="Q77" s="90">
        <f>Inputs!$L$22*Model!Q$34</f>
        <v>124.25470278389149</v>
      </c>
      <c r="R77" s="90">
        <f>Inputs!$L$22*Model!R$34</f>
        <v>126.36703273121762</v>
      </c>
      <c r="S77" s="90">
        <f>Inputs!$L$22*Model!S$34</f>
        <v>128.38890525491712</v>
      </c>
      <c r="T77" s="90">
        <f>Inputs!$L$22*Model!T$34</f>
        <v>130.4431277389958</v>
      </c>
      <c r="U77" s="90">
        <f>Inputs!$L$22*Model!U$34</f>
        <v>132.5302177828197</v>
      </c>
      <c r="V77" s="90">
        <f>Inputs!$L$22*Model!V$34</f>
        <v>134.65070126734486</v>
      </c>
      <c r="W77" s="90">
        <f>Inputs!$L$22*Model!W$34</f>
        <v>136.80511248762235</v>
      </c>
      <c r="X77" s="90">
        <f>Inputs!$L$22*Model!X$34</f>
        <v>138.9939942874243</v>
      </c>
      <c r="Y77" s="90">
        <f>Inputs!$L$22*Model!Y$34</f>
        <v>141.2178981960231</v>
      </c>
      <c r="Z77" s="90">
        <f>Inputs!$L$22*Model!Z$34</f>
        <v>143.47738456715948</v>
      </c>
      <c r="AA77" s="90">
        <f>Inputs!$L$22*Model!AA$34</f>
        <v>145.77302272023405</v>
      </c>
    </row>
    <row r="78" spans="2:27" s="66" customFormat="1" ht="15" customHeight="1" outlineLevel="1">
      <c r="B78" s="132"/>
      <c r="C78" s="104"/>
      <c r="D78" s="261"/>
      <c r="E78" s="96"/>
      <c r="F78" s="228"/>
      <c r="G78" s="228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</row>
    <row r="79" spans="2:27" s="66" customFormat="1" ht="15" customHeight="1" outlineLevel="1">
      <c r="B79" s="132" t="s">
        <v>174</v>
      </c>
      <c r="C79" s="72"/>
      <c r="D79" s="261" t="s">
        <v>144</v>
      </c>
      <c r="E79" s="133"/>
      <c r="F79" s="90"/>
      <c r="G79" s="90"/>
      <c r="H79" s="332">
        <f>H74+H77</f>
        <v>157.30857253799999</v>
      </c>
      <c r="I79" s="332">
        <f t="shared" ref="I79:AA79" si="66">I74+I77</f>
        <v>182.54326055778</v>
      </c>
      <c r="J79" s="332">
        <f t="shared" si="66"/>
        <v>208.724412669336</v>
      </c>
      <c r="K79" s="332">
        <f t="shared" si="66"/>
        <v>343.76490331709078</v>
      </c>
      <c r="L79" s="332">
        <f t="shared" si="66"/>
        <v>373.77457784630207</v>
      </c>
      <c r="M79" s="332">
        <f t="shared" si="66"/>
        <v>404.80060444765604</v>
      </c>
      <c r="N79" s="332">
        <f t="shared" si="66"/>
        <v>412.57876229541347</v>
      </c>
      <c r="O79" s="332">
        <f t="shared" si="66"/>
        <v>420.18255059776499</v>
      </c>
      <c r="P79" s="332">
        <f t="shared" si="66"/>
        <v>427.92675450117952</v>
      </c>
      <c r="Q79" s="332">
        <f t="shared" si="66"/>
        <v>435.8139724347086</v>
      </c>
      <c r="R79" s="332">
        <f t="shared" si="66"/>
        <v>443.50515058543567</v>
      </c>
      <c r="S79" s="332">
        <f t="shared" si="66"/>
        <v>450.98521623710099</v>
      </c>
      <c r="T79" s="332">
        <f t="shared" si="66"/>
        <v>458.59264260403893</v>
      </c>
      <c r="U79" s="332">
        <f t="shared" si="66"/>
        <v>466.32962105099068</v>
      </c>
      <c r="V79" s="332">
        <f t="shared" si="66"/>
        <v>474.19838107639958</v>
      </c>
      <c r="W79" s="332">
        <f t="shared" si="66"/>
        <v>482.20119098398669</v>
      </c>
      <c r="X79" s="332">
        <f t="shared" si="66"/>
        <v>490.3403585663026</v>
      </c>
      <c r="Y79" s="332">
        <f t="shared" si="66"/>
        <v>498.61823180046702</v>
      </c>
      <c r="Z79" s="332">
        <f t="shared" si="66"/>
        <v>507.03719955632016</v>
      </c>
      <c r="AA79" s="332">
        <f t="shared" si="66"/>
        <v>515.59969231720788</v>
      </c>
    </row>
    <row r="80" spans="2:27" s="66" customFormat="1" ht="15" customHeight="1" outlineLevel="1">
      <c r="B80" s="282"/>
      <c r="C80" s="140"/>
      <c r="D80" s="281"/>
      <c r="E80" s="219"/>
      <c r="F80" s="227"/>
      <c r="G80" s="227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</row>
    <row r="81" spans="1:27" s="66" customFormat="1" ht="15" customHeight="1">
      <c r="B81" s="68"/>
      <c r="C81" s="104"/>
      <c r="D81" s="261"/>
      <c r="E81" s="96"/>
      <c r="F81" s="228"/>
      <c r="G81" s="228"/>
      <c r="H81" s="228"/>
      <c r="I81" s="248"/>
      <c r="J81" s="248"/>
      <c r="K81" s="248"/>
      <c r="L81" s="248"/>
      <c r="M81" s="248"/>
      <c r="N81" s="248"/>
      <c r="O81" s="62"/>
    </row>
    <row r="82" spans="1:27" s="95" customFormat="1" ht="15" customHeight="1">
      <c r="A82" s="66" t="s">
        <v>0</v>
      </c>
      <c r="B82" s="108" t="s">
        <v>98</v>
      </c>
      <c r="C82" s="107"/>
      <c r="D82" s="106"/>
      <c r="E82" s="106"/>
      <c r="F82" s="105"/>
      <c r="G82" s="105"/>
      <c r="H82" s="105"/>
      <c r="I82" s="105"/>
      <c r="J82" s="105"/>
      <c r="K82" s="105"/>
      <c r="L82" s="105"/>
      <c r="M82" s="10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</row>
    <row r="83" spans="1:27" s="95" customFormat="1" ht="15" customHeight="1" outlineLevel="1">
      <c r="B83" s="192"/>
      <c r="C83" s="104"/>
      <c r="D83" s="103"/>
      <c r="E83" s="103"/>
      <c r="F83" s="102"/>
      <c r="G83" s="102"/>
      <c r="H83" s="102"/>
      <c r="I83" s="102"/>
      <c r="J83" s="102"/>
      <c r="K83" s="102"/>
      <c r="L83" s="102"/>
      <c r="M83" s="102"/>
      <c r="N83" s="102"/>
    </row>
    <row r="84" spans="1:27" s="95" customFormat="1" ht="15" customHeight="1" outlineLevel="1">
      <c r="B84" s="86" t="s">
        <v>134</v>
      </c>
      <c r="C84" s="302"/>
      <c r="D84" s="302"/>
      <c r="E84" s="302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</row>
    <row r="85" spans="1:27" ht="15" customHeight="1" outlineLevel="1" thickBot="1">
      <c r="A85" s="66"/>
      <c r="B85" s="86" t="str" cm="1">
        <f t="array" ref="B85">CONCATENATE("Model Drivers: ",INDEX(Inputs!$B$96:$B$98,Inputs!$D$86)," &amp; ",INDEX(Inputs!$B$143:$B$144,Inputs!$D$139)," Financing")</f>
        <v>Model Drivers: Base Case &amp; Two Phased  Financing</v>
      </c>
      <c r="C85" s="104"/>
      <c r="D85" s="96"/>
      <c r="E85" s="96"/>
      <c r="F85" s="245">
        <v>2025</v>
      </c>
      <c r="G85" s="245">
        <v>2026</v>
      </c>
      <c r="H85" s="316">
        <f>Inputs!$F$8</f>
        <v>2027</v>
      </c>
      <c r="I85" s="316">
        <f>H85+1</f>
        <v>2028</v>
      </c>
      <c r="J85" s="316">
        <f t="shared" ref="J85" si="67">I85+1</f>
        <v>2029</v>
      </c>
      <c r="K85" s="317">
        <f t="shared" ref="K85" si="68">J85+1</f>
        <v>2030</v>
      </c>
      <c r="L85" s="317">
        <f t="shared" ref="L85" si="69">K85+1</f>
        <v>2031</v>
      </c>
      <c r="M85" s="317">
        <f t="shared" ref="M85" si="70">L85+1</f>
        <v>2032</v>
      </c>
      <c r="N85" s="317">
        <f t="shared" ref="N85" si="71">M85+1</f>
        <v>2033</v>
      </c>
      <c r="O85" s="317">
        <f t="shared" ref="O85" si="72">N85+1</f>
        <v>2034</v>
      </c>
      <c r="P85" s="317">
        <f t="shared" ref="P85" si="73">O85+1</f>
        <v>2035</v>
      </c>
      <c r="Q85" s="317">
        <f t="shared" ref="Q85" si="74">P85+1</f>
        <v>2036</v>
      </c>
      <c r="R85" s="317">
        <f t="shared" ref="R85" si="75">Q85+1</f>
        <v>2037</v>
      </c>
      <c r="S85" s="317">
        <f t="shared" ref="S85" si="76">R85+1</f>
        <v>2038</v>
      </c>
      <c r="T85" s="317">
        <f t="shared" ref="T85" si="77">S85+1</f>
        <v>2039</v>
      </c>
      <c r="U85" s="317">
        <f t="shared" ref="U85" si="78">T85+1</f>
        <v>2040</v>
      </c>
      <c r="V85" s="317">
        <f>U85+1</f>
        <v>2041</v>
      </c>
      <c r="W85" s="317">
        <f t="shared" ref="W85" si="79">V85+1</f>
        <v>2042</v>
      </c>
      <c r="X85" s="317">
        <f t="shared" ref="X85" si="80">W85+1</f>
        <v>2043</v>
      </c>
      <c r="Y85" s="317">
        <f t="shared" ref="Y85" si="81">X85+1</f>
        <v>2044</v>
      </c>
      <c r="Z85" s="317">
        <f t="shared" ref="Z85" si="82">Y85+1</f>
        <v>2045</v>
      </c>
      <c r="AA85" s="317">
        <f t="shared" ref="AA85" si="83">Z85+1</f>
        <v>2046</v>
      </c>
    </row>
    <row r="86" spans="1:27" ht="15" customHeight="1" outlineLevel="1">
      <c r="A86" s="66"/>
      <c r="B86" s="68"/>
      <c r="C86" s="104"/>
      <c r="D86" s="96"/>
      <c r="E86" s="96"/>
      <c r="F86" s="279"/>
      <c r="G86" s="279"/>
      <c r="H86" s="279"/>
      <c r="I86" s="279"/>
      <c r="J86" s="279"/>
      <c r="K86" s="279"/>
      <c r="L86" s="279"/>
      <c r="M86" s="279"/>
      <c r="N86" s="279"/>
    </row>
    <row r="87" spans="1:27" s="95" customFormat="1" ht="15" customHeight="1" outlineLevel="1">
      <c r="B87" s="96"/>
      <c r="C87" s="96"/>
      <c r="D87" s="96"/>
      <c r="E87" s="96"/>
      <c r="F87" s="96"/>
      <c r="G87" s="96"/>
      <c r="H87" s="96"/>
    </row>
    <row r="88" spans="1:27" s="95" customFormat="1" ht="15" customHeight="1" outlineLevel="1">
      <c r="B88" s="370" t="s">
        <v>41</v>
      </c>
      <c r="C88" s="371">
        <f>Inputs!$F$16</f>
        <v>0.20599999999999999</v>
      </c>
      <c r="E88" s="96"/>
      <c r="F88" s="96"/>
      <c r="G88" s="96"/>
      <c r="H88" s="96"/>
      <c r="I88" s="100"/>
      <c r="J88" s="100"/>
      <c r="K88" s="100"/>
      <c r="L88" s="100"/>
      <c r="M88" s="100"/>
      <c r="O88" s="62"/>
    </row>
    <row r="89" spans="1:27" s="95" customFormat="1" ht="15" customHeight="1" outlineLevel="1">
      <c r="B89" s="65"/>
      <c r="C89" s="104"/>
      <c r="D89" s="96"/>
      <c r="E89" s="96"/>
      <c r="F89" s="96"/>
      <c r="G89" s="96"/>
      <c r="H89" s="539"/>
    </row>
    <row r="90" spans="1:27" s="66" customFormat="1" ht="15" customHeight="1" outlineLevel="1">
      <c r="B90" s="132" t="s">
        <v>91</v>
      </c>
      <c r="C90" s="133"/>
      <c r="D90" s="96"/>
      <c r="E90" s="133"/>
      <c r="F90" s="225"/>
      <c r="G90" s="225"/>
      <c r="H90" s="243">
        <f>H$34</f>
        <v>1837.4285915999997</v>
      </c>
      <c r="I90" s="243">
        <f t="shared" ref="I90:W90" si="84">I$34</f>
        <v>2275.7865555960002</v>
      </c>
      <c r="J90" s="243">
        <f t="shared" si="84"/>
        <v>2730.9438667151999</v>
      </c>
      <c r="K90" s="339">
        <f t="shared" si="84"/>
        <v>4730.8140603107404</v>
      </c>
      <c r="L90" s="243">
        <f t="shared" si="84"/>
        <v>5246.055368114583</v>
      </c>
      <c r="M90" s="243">
        <f t="shared" si="84"/>
        <v>5779.1680217391995</v>
      </c>
      <c r="N90" s="243">
        <f t="shared" si="84"/>
        <v>5888.9722141522443</v>
      </c>
      <c r="O90" s="243">
        <f t="shared" si="84"/>
        <v>5994.9737140069847</v>
      </c>
      <c r="P90" s="243">
        <f t="shared" si="84"/>
        <v>6102.8832408591097</v>
      </c>
      <c r="Q90" s="243">
        <f t="shared" si="84"/>
        <v>6212.735139194574</v>
      </c>
      <c r="R90" s="243">
        <f t="shared" si="84"/>
        <v>6318.3516365608812</v>
      </c>
      <c r="S90" s="243">
        <f t="shared" si="84"/>
        <v>6419.4452627458559</v>
      </c>
      <c r="T90" s="243">
        <f t="shared" si="84"/>
        <v>6522.1563869497895</v>
      </c>
      <c r="U90" s="243">
        <f t="shared" si="84"/>
        <v>6626.5108891409855</v>
      </c>
      <c r="V90" s="243">
        <f t="shared" si="84"/>
        <v>6732.5350633672424</v>
      </c>
      <c r="W90" s="243">
        <f t="shared" si="84"/>
        <v>6840.2556243811177</v>
      </c>
      <c r="X90" s="243">
        <f>X$34</f>
        <v>6949.6997143712151</v>
      </c>
      <c r="Y90" s="243">
        <f t="shared" ref="Y90:AA90" si="85">Y$34</f>
        <v>7060.8949098011544</v>
      </c>
      <c r="Z90" s="243">
        <f t="shared" si="85"/>
        <v>7173.869228357974</v>
      </c>
      <c r="AA90" s="243">
        <f t="shared" si="85"/>
        <v>7288.651136011702</v>
      </c>
    </row>
    <row r="91" spans="1:27" s="66" customFormat="1" ht="15" customHeight="1" outlineLevel="1">
      <c r="B91" s="132" t="s">
        <v>90</v>
      </c>
      <c r="C91" s="133"/>
      <c r="D91" s="133"/>
      <c r="E91" s="133"/>
      <c r="F91" s="225"/>
      <c r="G91" s="225"/>
      <c r="H91" s="276">
        <f>H66</f>
        <v>1237.6968211999999</v>
      </c>
      <c r="I91" s="276">
        <f t="shared" ref="I91:X91" si="86">I66</f>
        <v>1532.9759199719997</v>
      </c>
      <c r="J91" s="276">
        <f t="shared" si="86"/>
        <v>1839.5711039664</v>
      </c>
      <c r="K91" s="340">
        <f t="shared" si="86"/>
        <v>3188.4282990959946</v>
      </c>
      <c r="L91" s="276">
        <f t="shared" si="86"/>
        <v>3537.6162478101642</v>
      </c>
      <c r="M91" s="276">
        <f t="shared" si="86"/>
        <v>3899.243421038309</v>
      </c>
      <c r="N91" s="276">
        <f t="shared" si="86"/>
        <v>3975.5004969577308</v>
      </c>
      <c r="O91" s="276">
        <f t="shared" si="86"/>
        <v>4051.4892657791452</v>
      </c>
      <c r="P91" s="276">
        <f t="shared" si="86"/>
        <v>4128.9344276368683</v>
      </c>
      <c r="Q91" s="276">
        <f t="shared" si="86"/>
        <v>4207.8639695095044</v>
      </c>
      <c r="R91" s="276">
        <f t="shared" si="86"/>
        <v>4286.4490019191799</v>
      </c>
      <c r="S91" s="276">
        <f t="shared" si="86"/>
        <v>4364.6220150519848</v>
      </c>
      <c r="T91" s="276">
        <f t="shared" si="86"/>
        <v>4444.2375929769569</v>
      </c>
      <c r="U91" s="276">
        <f t="shared" si="86"/>
        <v>4525.3226526624121</v>
      </c>
      <c r="V91" s="276">
        <f t="shared" si="86"/>
        <v>4607.9046184667905</v>
      </c>
      <c r="W91" s="276">
        <f t="shared" si="86"/>
        <v>4692.0114317912758</v>
      </c>
      <c r="X91" s="276">
        <f t="shared" si="86"/>
        <v>4777.6715609175317</v>
      </c>
      <c r="Y91" s="276">
        <f t="shared" ref="Y91:AA91" si="87">Y66</f>
        <v>4864.9140110341605</v>
      </c>
      <c r="Z91" s="276">
        <f t="shared" si="87"/>
        <v>4953.7683344554925</v>
      </c>
      <c r="AA91" s="276">
        <f t="shared" si="87"/>
        <v>5044.2646410364632</v>
      </c>
    </row>
    <row r="92" spans="1:27" s="66" customFormat="1" ht="15" customHeight="1" outlineLevel="1">
      <c r="B92" s="200" t="s">
        <v>96</v>
      </c>
      <c r="C92" s="247"/>
      <c r="D92" s="133"/>
      <c r="E92" s="133"/>
      <c r="F92" s="242"/>
      <c r="G92" s="242"/>
      <c r="H92" s="242">
        <f>H90-H91</f>
        <v>599.73177039999973</v>
      </c>
      <c r="I92" s="242">
        <f t="shared" ref="I92:X92" si="88">I90-I91</f>
        <v>742.8106356240005</v>
      </c>
      <c r="J92" s="242">
        <f t="shared" si="88"/>
        <v>891.37276274879991</v>
      </c>
      <c r="K92" s="341">
        <f t="shared" si="88"/>
        <v>1542.3857612147458</v>
      </c>
      <c r="L92" s="242">
        <f t="shared" si="88"/>
        <v>1708.4391203044188</v>
      </c>
      <c r="M92" s="242">
        <f t="shared" si="88"/>
        <v>1879.9246007008906</v>
      </c>
      <c r="N92" s="242">
        <f t="shared" si="88"/>
        <v>1913.4717171945135</v>
      </c>
      <c r="O92" s="242">
        <f t="shared" si="88"/>
        <v>1943.4844482278395</v>
      </c>
      <c r="P92" s="242">
        <f t="shared" si="88"/>
        <v>1973.9488132222414</v>
      </c>
      <c r="Q92" s="242">
        <f t="shared" si="88"/>
        <v>2004.8711696850696</v>
      </c>
      <c r="R92" s="242">
        <f t="shared" si="88"/>
        <v>2031.9026346417013</v>
      </c>
      <c r="S92" s="242">
        <f t="shared" si="88"/>
        <v>2054.8232476938711</v>
      </c>
      <c r="T92" s="242">
        <f t="shared" si="88"/>
        <v>2077.9187939728326</v>
      </c>
      <c r="U92" s="242">
        <f t="shared" si="88"/>
        <v>2101.1882364785733</v>
      </c>
      <c r="V92" s="242">
        <f t="shared" si="88"/>
        <v>2124.6304449004519</v>
      </c>
      <c r="W92" s="242">
        <f t="shared" si="88"/>
        <v>2148.244192589842</v>
      </c>
      <c r="X92" s="242">
        <f t="shared" si="88"/>
        <v>2172.0281534536834</v>
      </c>
      <c r="Y92" s="242">
        <f t="shared" ref="Y92:AA92" si="89">Y90-Y91</f>
        <v>2195.980898766994</v>
      </c>
      <c r="Z92" s="242">
        <f t="shared" si="89"/>
        <v>2220.1008939024814</v>
      </c>
      <c r="AA92" s="242">
        <f t="shared" si="89"/>
        <v>2244.3864949752387</v>
      </c>
    </row>
    <row r="93" spans="1:27" s="334" customFormat="1" ht="15" customHeight="1" outlineLevel="1">
      <c r="B93" s="333" t="s">
        <v>175</v>
      </c>
      <c r="C93" s="336"/>
      <c r="D93" s="336"/>
      <c r="E93" s="336"/>
      <c r="F93" s="358"/>
      <c r="G93" s="358"/>
      <c r="H93" s="337">
        <f>H92/H90</f>
        <v>0.32639732131182531</v>
      </c>
      <c r="I93" s="337">
        <f t="shared" ref="I93:X93" si="90">I92/I90</f>
        <v>0.32639732131182558</v>
      </c>
      <c r="J93" s="337">
        <f t="shared" si="90"/>
        <v>0.32639732131182536</v>
      </c>
      <c r="K93" s="337">
        <f t="shared" si="90"/>
        <v>0.32602967302279373</v>
      </c>
      <c r="L93" s="337">
        <f t="shared" si="90"/>
        <v>0.32566166394054413</v>
      </c>
      <c r="M93" s="337">
        <f t="shared" si="90"/>
        <v>0.32529329371101079</v>
      </c>
      <c r="N93" s="337">
        <f t="shared" si="90"/>
        <v>0.32492456197978004</v>
      </c>
      <c r="O93" s="337">
        <f>O92/O90</f>
        <v>0.3241856496696518</v>
      </c>
      <c r="P93" s="337">
        <f t="shared" si="90"/>
        <v>0.32344528566539743</v>
      </c>
      <c r="Q93" s="337">
        <f t="shared" si="90"/>
        <v>0.32270346711496595</v>
      </c>
      <c r="R93" s="337">
        <f t="shared" si="90"/>
        <v>0.32158745690635204</v>
      </c>
      <c r="S93" s="337">
        <f t="shared" si="90"/>
        <v>0.32009358497356205</v>
      </c>
      <c r="T93" s="337">
        <f t="shared" si="90"/>
        <v>0.31859383165520982</v>
      </c>
      <c r="U93" s="337">
        <f t="shared" si="90"/>
        <v>0.31708817379623394</v>
      </c>
      <c r="V93" s="337">
        <f t="shared" si="90"/>
        <v>0.31557658815041195</v>
      </c>
      <c r="W93" s="337">
        <f t="shared" si="90"/>
        <v>0.31405905137999979</v>
      </c>
      <c r="X93" s="337">
        <f t="shared" si="90"/>
        <v>0.3125355400553736</v>
      </c>
      <c r="Y93" s="337">
        <f t="shared" ref="Y93" si="91">Y92/Y90</f>
        <v>0.31100603065466614</v>
      </c>
      <c r="Z93" s="337">
        <f t="shared" ref="Z93" si="92">Z92/Z90</f>
        <v>0.30947049956340505</v>
      </c>
      <c r="AA93" s="337">
        <f t="shared" ref="AA93" si="93">AA92/AA90</f>
        <v>0.3079289230741466</v>
      </c>
    </row>
    <row r="94" spans="1:27" s="66" customFormat="1" ht="15" customHeight="1" outlineLevel="1">
      <c r="B94" s="132"/>
      <c r="C94" s="133"/>
      <c r="D94" s="133"/>
      <c r="E94" s="133"/>
      <c r="F94" s="278"/>
      <c r="G94" s="278"/>
      <c r="H94" s="278"/>
      <c r="I94" s="277"/>
      <c r="J94" s="277"/>
      <c r="K94" s="277"/>
      <c r="L94" s="277"/>
      <c r="M94" s="277"/>
      <c r="N94" s="277"/>
      <c r="O94" s="277"/>
    </row>
    <row r="95" spans="1:27" s="66" customFormat="1" ht="15" customHeight="1" outlineLevel="1">
      <c r="B95" s="132" t="s">
        <v>168</v>
      </c>
      <c r="C95" s="133"/>
      <c r="D95" s="133"/>
      <c r="E95" s="133"/>
      <c r="F95" s="278"/>
      <c r="G95" s="278"/>
      <c r="H95" s="243">
        <f>H74</f>
        <v>120.560000706</v>
      </c>
      <c r="I95" s="243">
        <f t="shared" ref="I95:X95" si="94">I74</f>
        <v>137.02752944586001</v>
      </c>
      <c r="J95" s="243">
        <f t="shared" si="94"/>
        <v>154.10553533503202</v>
      </c>
      <c r="K95" s="243">
        <f t="shared" si="94"/>
        <v>249.14862211087595</v>
      </c>
      <c r="L95" s="243">
        <f t="shared" si="94"/>
        <v>268.85347048401042</v>
      </c>
      <c r="M95" s="243">
        <f t="shared" si="94"/>
        <v>289.21724401287202</v>
      </c>
      <c r="N95" s="243">
        <f t="shared" si="94"/>
        <v>294.79931801236859</v>
      </c>
      <c r="O95" s="243">
        <f t="shared" si="94"/>
        <v>300.28307631762527</v>
      </c>
      <c r="P95" s="243">
        <f t="shared" si="94"/>
        <v>305.86908968399729</v>
      </c>
      <c r="Q95" s="243">
        <f t="shared" si="94"/>
        <v>311.5592696508171</v>
      </c>
      <c r="R95" s="243">
        <f t="shared" si="94"/>
        <v>317.13811785421802</v>
      </c>
      <c r="S95" s="243">
        <f t="shared" si="94"/>
        <v>322.59631098218387</v>
      </c>
      <c r="T95" s="243">
        <f t="shared" si="94"/>
        <v>328.1495148650431</v>
      </c>
      <c r="U95" s="243">
        <f t="shared" si="94"/>
        <v>333.79940326817098</v>
      </c>
      <c r="V95" s="243">
        <f t="shared" si="94"/>
        <v>339.54767980905473</v>
      </c>
      <c r="W95" s="243">
        <f t="shared" si="94"/>
        <v>345.39607849636434</v>
      </c>
      <c r="X95" s="243">
        <f t="shared" si="94"/>
        <v>351.3463642788783</v>
      </c>
      <c r="Y95" s="243">
        <f t="shared" ref="Y95:AA95" si="95">Y74</f>
        <v>357.40033360444392</v>
      </c>
      <c r="Z95" s="243">
        <f t="shared" si="95"/>
        <v>363.55981498916066</v>
      </c>
      <c r="AA95" s="243">
        <f t="shared" si="95"/>
        <v>369.82666959697377</v>
      </c>
    </row>
    <row r="96" spans="1:27" s="66" customFormat="1" ht="15" customHeight="1" outlineLevel="1">
      <c r="B96" s="132" t="s">
        <v>170</v>
      </c>
      <c r="C96" s="133"/>
      <c r="D96" s="225"/>
      <c r="E96" s="133"/>
      <c r="F96" s="278"/>
      <c r="G96" s="278"/>
      <c r="H96" s="243">
        <f>H77</f>
        <v>36.748571831999996</v>
      </c>
      <c r="I96" s="243">
        <f t="shared" ref="I96:X96" si="96">I77</f>
        <v>45.515731111920005</v>
      </c>
      <c r="J96" s="243">
        <f t="shared" si="96"/>
        <v>54.618877334303995</v>
      </c>
      <c r="K96" s="243">
        <f t="shared" si="96"/>
        <v>94.616281206214808</v>
      </c>
      <c r="L96" s="243">
        <f t="shared" si="96"/>
        <v>104.92110736229166</v>
      </c>
      <c r="M96" s="243">
        <f t="shared" si="96"/>
        <v>115.583360434784</v>
      </c>
      <c r="N96" s="243">
        <f t="shared" si="96"/>
        <v>117.77944428304488</v>
      </c>
      <c r="O96" s="243">
        <f t="shared" si="96"/>
        <v>119.8994742801397</v>
      </c>
      <c r="P96" s="243">
        <f t="shared" si="96"/>
        <v>122.0576648171822</v>
      </c>
      <c r="Q96" s="243">
        <f t="shared" si="96"/>
        <v>124.25470278389149</v>
      </c>
      <c r="R96" s="243">
        <f t="shared" si="96"/>
        <v>126.36703273121762</v>
      </c>
      <c r="S96" s="243">
        <f t="shared" si="96"/>
        <v>128.38890525491712</v>
      </c>
      <c r="T96" s="243">
        <f t="shared" si="96"/>
        <v>130.4431277389958</v>
      </c>
      <c r="U96" s="243">
        <f t="shared" si="96"/>
        <v>132.5302177828197</v>
      </c>
      <c r="V96" s="243">
        <f t="shared" si="96"/>
        <v>134.65070126734486</v>
      </c>
      <c r="W96" s="243">
        <f t="shared" si="96"/>
        <v>136.80511248762235</v>
      </c>
      <c r="X96" s="243">
        <f t="shared" si="96"/>
        <v>138.9939942874243</v>
      </c>
      <c r="Y96" s="243">
        <f t="shared" ref="Y96:AA96" si="97">Y77</f>
        <v>141.2178981960231</v>
      </c>
      <c r="Z96" s="243">
        <f t="shared" si="97"/>
        <v>143.47738456715948</v>
      </c>
      <c r="AA96" s="243">
        <f t="shared" si="97"/>
        <v>145.77302272023405</v>
      </c>
    </row>
    <row r="97" spans="1:27" s="66" customFormat="1" ht="15" customHeight="1" outlineLevel="1">
      <c r="B97" s="200" t="s">
        <v>69</v>
      </c>
      <c r="C97" s="247"/>
      <c r="D97" s="133"/>
      <c r="E97" s="133"/>
      <c r="F97" s="278"/>
      <c r="G97" s="278"/>
      <c r="H97" s="242">
        <f>H92-H95-H96</f>
        <v>442.42319786199977</v>
      </c>
      <c r="I97" s="242">
        <f t="shared" ref="I97:X97" si="98">I92-I95-I96</f>
        <v>560.26737506622055</v>
      </c>
      <c r="J97" s="242">
        <f t="shared" si="98"/>
        <v>682.64835007946385</v>
      </c>
      <c r="K97" s="242">
        <f t="shared" si="98"/>
        <v>1198.620857897655</v>
      </c>
      <c r="L97" s="242">
        <f t="shared" si="98"/>
        <v>1334.6645424581168</v>
      </c>
      <c r="M97" s="242">
        <f t="shared" si="98"/>
        <v>1475.1239962532345</v>
      </c>
      <c r="N97" s="242">
        <f t="shared" si="98"/>
        <v>1500.8929548991</v>
      </c>
      <c r="O97" s="242">
        <f t="shared" si="98"/>
        <v>1523.3018976300746</v>
      </c>
      <c r="P97" s="242">
        <f t="shared" si="98"/>
        <v>1546.0220587210617</v>
      </c>
      <c r="Q97" s="242">
        <f t="shared" si="98"/>
        <v>1569.0571972503612</v>
      </c>
      <c r="R97" s="242">
        <f t="shared" si="98"/>
        <v>1588.3974840562655</v>
      </c>
      <c r="S97" s="242">
        <f t="shared" si="98"/>
        <v>1603.8380314567701</v>
      </c>
      <c r="T97" s="242">
        <f t="shared" si="98"/>
        <v>1619.3261513687937</v>
      </c>
      <c r="U97" s="242">
        <f t="shared" si="98"/>
        <v>1634.8586154275827</v>
      </c>
      <c r="V97" s="242">
        <f t="shared" si="98"/>
        <v>1650.4320638240524</v>
      </c>
      <c r="W97" s="242">
        <f t="shared" si="98"/>
        <v>1666.0430016058554</v>
      </c>
      <c r="X97" s="242">
        <f t="shared" si="98"/>
        <v>1681.6877948873807</v>
      </c>
      <c r="Y97" s="242">
        <f t="shared" ref="Y97" si="99">Y92-Y95-Y96</f>
        <v>1697.3626669665271</v>
      </c>
      <c r="Z97" s="242">
        <f t="shared" ref="Z97" si="100">Z92-Z95-Z96</f>
        <v>1713.0636943461611</v>
      </c>
      <c r="AA97" s="242">
        <f t="shared" ref="AA97" si="101">AA92-AA95-AA96</f>
        <v>1728.7868026580309</v>
      </c>
    </row>
    <row r="98" spans="1:27" s="334" customFormat="1" ht="15" customHeight="1" outlineLevel="1">
      <c r="B98" s="333" t="s">
        <v>150</v>
      </c>
      <c r="C98" s="335"/>
      <c r="D98" s="336"/>
      <c r="E98" s="336"/>
      <c r="F98" s="278"/>
      <c r="G98" s="278"/>
      <c r="H98" s="337">
        <f>H97/H90</f>
        <v>0.24078388672331785</v>
      </c>
      <c r="I98" s="337">
        <f t="shared" ref="I98:X98" si="102">I97/I90</f>
        <v>0.24618625753305476</v>
      </c>
      <c r="J98" s="337">
        <f t="shared" si="102"/>
        <v>0.24996791709987012</v>
      </c>
      <c r="K98" s="337">
        <f t="shared" si="102"/>
        <v>0.25336460968811031</v>
      </c>
      <c r="L98" s="337">
        <f t="shared" si="102"/>
        <v>0.2544129729491954</v>
      </c>
      <c r="M98" s="337">
        <f t="shared" si="102"/>
        <v>0.2552485047509151</v>
      </c>
      <c r="N98" s="337">
        <f t="shared" si="102"/>
        <v>0.25486500875181378</v>
      </c>
      <c r="O98" s="337">
        <f t="shared" si="102"/>
        <v>0.25409650989310406</v>
      </c>
      <c r="P98" s="337">
        <f t="shared" si="102"/>
        <v>0.25332650121345374</v>
      </c>
      <c r="Q98" s="337">
        <f t="shared" si="102"/>
        <v>0.25255497974661378</v>
      </c>
      <c r="R98" s="337">
        <f t="shared" si="102"/>
        <v>0.2513942837345533</v>
      </c>
      <c r="S98" s="337">
        <f t="shared" si="102"/>
        <v>0.24984059615935472</v>
      </c>
      <c r="T98" s="337">
        <f t="shared" si="102"/>
        <v>0.24828079170393863</v>
      </c>
      <c r="U98" s="337">
        <f t="shared" si="102"/>
        <v>0.24671484628609949</v>
      </c>
      <c r="V98" s="337">
        <f t="shared" si="102"/>
        <v>0.24514273572882031</v>
      </c>
      <c r="W98" s="337">
        <f t="shared" si="102"/>
        <v>0.24356443575989795</v>
      </c>
      <c r="X98" s="337">
        <f t="shared" si="102"/>
        <v>0.24197992201157054</v>
      </c>
      <c r="Y98" s="337">
        <f t="shared" ref="Y98" si="103">Y97/Y90</f>
        <v>0.24038917002013946</v>
      </c>
      <c r="Z98" s="337">
        <f t="shared" ref="Z98" si="104">Z97/Z90</f>
        <v>0.23879215522559283</v>
      </c>
      <c r="AA98" s="337">
        <f t="shared" ref="AA98" si="105">AA97/AA90</f>
        <v>0.23718885297122488</v>
      </c>
    </row>
    <row r="99" spans="1:27" s="66" customFormat="1" ht="15" customHeight="1" outlineLevel="1">
      <c r="B99" s="132"/>
      <c r="C99" s="133"/>
      <c r="D99" s="133"/>
      <c r="E99" s="133"/>
      <c r="F99" s="278"/>
      <c r="G99" s="278"/>
      <c r="H99" s="242"/>
      <c r="I99" s="242"/>
      <c r="J99" s="242"/>
      <c r="K99" s="242"/>
      <c r="L99" s="242"/>
      <c r="M99" s="242"/>
      <c r="N99" s="242"/>
      <c r="O99" s="242"/>
    </row>
    <row r="100" spans="1:27" s="66" customFormat="1" ht="15" customHeight="1" outlineLevel="1">
      <c r="B100" s="132" t="s">
        <v>95</v>
      </c>
      <c r="C100" s="133"/>
      <c r="D100" s="133"/>
      <c r="E100" s="133"/>
      <c r="F100" s="278"/>
      <c r="G100" s="278"/>
      <c r="H100" s="276">
        <f>H$160</f>
        <v>150</v>
      </c>
      <c r="I100" s="276">
        <f t="shared" ref="I100:AA100" si="106">I$160</f>
        <v>150</v>
      </c>
      <c r="J100" s="276">
        <f t="shared" si="106"/>
        <v>150</v>
      </c>
      <c r="K100" s="276">
        <f t="shared" si="106"/>
        <v>275</v>
      </c>
      <c r="L100" s="276">
        <f t="shared" si="106"/>
        <v>275</v>
      </c>
      <c r="M100" s="276">
        <f t="shared" si="106"/>
        <v>275</v>
      </c>
      <c r="N100" s="276">
        <f t="shared" si="106"/>
        <v>275</v>
      </c>
      <c r="O100" s="276">
        <f t="shared" si="106"/>
        <v>275</v>
      </c>
      <c r="P100" s="276">
        <f t="shared" si="106"/>
        <v>275</v>
      </c>
      <c r="Q100" s="276">
        <f t="shared" si="106"/>
        <v>275</v>
      </c>
      <c r="R100" s="276">
        <f t="shared" si="106"/>
        <v>275</v>
      </c>
      <c r="S100" s="276">
        <f t="shared" si="106"/>
        <v>275</v>
      </c>
      <c r="T100" s="276">
        <f t="shared" si="106"/>
        <v>275</v>
      </c>
      <c r="U100" s="276">
        <f t="shared" si="106"/>
        <v>275</v>
      </c>
      <c r="V100" s="276">
        <f t="shared" si="106"/>
        <v>275</v>
      </c>
      <c r="W100" s="276">
        <f t="shared" si="106"/>
        <v>275</v>
      </c>
      <c r="X100" s="276">
        <f t="shared" si="106"/>
        <v>275</v>
      </c>
      <c r="Y100" s="276">
        <f t="shared" si="106"/>
        <v>275</v>
      </c>
      <c r="Z100" s="276">
        <f t="shared" si="106"/>
        <v>275</v>
      </c>
      <c r="AA100" s="276">
        <f t="shared" si="106"/>
        <v>275</v>
      </c>
    </row>
    <row r="101" spans="1:27" s="66" customFormat="1" ht="15" customHeight="1" outlineLevel="1">
      <c r="B101" s="200" t="s">
        <v>76</v>
      </c>
      <c r="C101" s="247"/>
      <c r="D101" s="133"/>
      <c r="E101" s="133"/>
      <c r="F101" s="278"/>
      <c r="G101" s="278"/>
      <c r="H101" s="242">
        <f>H97-H100</f>
        <v>292.42319786199977</v>
      </c>
      <c r="I101" s="242">
        <f t="shared" ref="I101:AA101" si="107">I97-I100</f>
        <v>410.26737506622055</v>
      </c>
      <c r="J101" s="242">
        <f t="shared" si="107"/>
        <v>532.64835007946385</v>
      </c>
      <c r="K101" s="341">
        <f t="shared" si="107"/>
        <v>923.62085789765501</v>
      </c>
      <c r="L101" s="242">
        <f t="shared" si="107"/>
        <v>1059.6645424581168</v>
      </c>
      <c r="M101" s="242">
        <f t="shared" si="107"/>
        <v>1200.1239962532345</v>
      </c>
      <c r="N101" s="242">
        <f t="shared" si="107"/>
        <v>1225.8929548991</v>
      </c>
      <c r="O101" s="242">
        <f t="shared" si="107"/>
        <v>1248.3018976300746</v>
      </c>
      <c r="P101" s="242">
        <f t="shared" si="107"/>
        <v>1271.0220587210617</v>
      </c>
      <c r="Q101" s="242">
        <f t="shared" si="107"/>
        <v>1294.0571972503612</v>
      </c>
      <c r="R101" s="242">
        <f t="shared" si="107"/>
        <v>1313.3974840562655</v>
      </c>
      <c r="S101" s="242">
        <f t="shared" si="107"/>
        <v>1328.8380314567701</v>
      </c>
      <c r="T101" s="242">
        <f t="shared" si="107"/>
        <v>1344.3261513687937</v>
      </c>
      <c r="U101" s="242">
        <f t="shared" si="107"/>
        <v>1359.8586154275827</v>
      </c>
      <c r="V101" s="242">
        <f t="shared" si="107"/>
        <v>1375.4320638240524</v>
      </c>
      <c r="W101" s="242">
        <f t="shared" si="107"/>
        <v>1391.0430016058554</v>
      </c>
      <c r="X101" s="242">
        <f t="shared" si="107"/>
        <v>1406.6877948873807</v>
      </c>
      <c r="Y101" s="242">
        <f t="shared" si="107"/>
        <v>1422.3626669665271</v>
      </c>
      <c r="Z101" s="242">
        <f t="shared" si="107"/>
        <v>1438.0636943461611</v>
      </c>
      <c r="AA101" s="242">
        <f t="shared" si="107"/>
        <v>1453.7868026580309</v>
      </c>
    </row>
    <row r="102" spans="1:27" s="66" customFormat="1" ht="15" customHeight="1" outlineLevel="1">
      <c r="B102" s="200"/>
      <c r="C102" s="247"/>
      <c r="D102" s="133"/>
      <c r="E102" s="133"/>
      <c r="F102" s="278"/>
      <c r="G102" s="278"/>
      <c r="H102" s="242"/>
      <c r="I102" s="242"/>
      <c r="J102" s="242"/>
      <c r="K102" s="242"/>
      <c r="L102" s="242"/>
      <c r="M102" s="242"/>
      <c r="N102" s="242"/>
      <c r="O102" s="242"/>
    </row>
    <row r="103" spans="1:27" s="66" customFormat="1" ht="15" customHeight="1" outlineLevel="1">
      <c r="B103" s="132" t="s">
        <v>94</v>
      </c>
      <c r="C103" s="133"/>
      <c r="D103" s="133"/>
      <c r="E103" s="133"/>
      <c r="F103" s="278"/>
      <c r="G103" s="278"/>
      <c r="H103" s="276">
        <f>H$236</f>
        <v>108</v>
      </c>
      <c r="I103" s="276">
        <f t="shared" ref="I103:AA103" si="108">I$236</f>
        <v>102.6</v>
      </c>
      <c r="J103" s="276">
        <f t="shared" si="108"/>
        <v>97.2</v>
      </c>
      <c r="K103" s="276">
        <f t="shared" si="108"/>
        <v>181.8</v>
      </c>
      <c r="L103" s="276">
        <f t="shared" si="108"/>
        <v>171.10588235294117</v>
      </c>
      <c r="M103" s="276">
        <f t="shared" si="108"/>
        <v>160.41176470588235</v>
      </c>
      <c r="N103" s="276">
        <f t="shared" si="108"/>
        <v>149.7176470588235</v>
      </c>
      <c r="O103" s="276">
        <f t="shared" si="108"/>
        <v>139.02352941176468</v>
      </c>
      <c r="P103" s="276">
        <f t="shared" si="108"/>
        <v>128.32941176470587</v>
      </c>
      <c r="Q103" s="276">
        <f t="shared" si="108"/>
        <v>117.63529411764705</v>
      </c>
      <c r="R103" s="276">
        <f t="shared" si="108"/>
        <v>106.94117647058823</v>
      </c>
      <c r="S103" s="276">
        <f t="shared" si="108"/>
        <v>96.247058823529414</v>
      </c>
      <c r="T103" s="276">
        <f t="shared" si="108"/>
        <v>85.552941176470569</v>
      </c>
      <c r="U103" s="276">
        <f t="shared" si="108"/>
        <v>74.858823529411751</v>
      </c>
      <c r="V103" s="276">
        <f t="shared" si="108"/>
        <v>64.164705882352933</v>
      </c>
      <c r="W103" s="276">
        <f t="shared" si="108"/>
        <v>53.470588235294102</v>
      </c>
      <c r="X103" s="276">
        <f t="shared" si="108"/>
        <v>42.776470588235284</v>
      </c>
      <c r="Y103" s="276">
        <f t="shared" si="108"/>
        <v>32.08235294117646</v>
      </c>
      <c r="Z103" s="276">
        <f t="shared" si="108"/>
        <v>21.388235294117635</v>
      </c>
      <c r="AA103" s="276">
        <f t="shared" si="108"/>
        <v>10.69411764705881</v>
      </c>
    </row>
    <row r="104" spans="1:27" s="66" customFormat="1" ht="15" customHeight="1" outlineLevel="1">
      <c r="B104" s="200" t="s">
        <v>75</v>
      </c>
      <c r="C104" s="247"/>
      <c r="D104" s="133"/>
      <c r="E104" s="133"/>
      <c r="F104" s="278"/>
      <c r="G104" s="278"/>
      <c r="H104" s="242">
        <f>H101-H103</f>
        <v>184.42319786199977</v>
      </c>
      <c r="I104" s="242">
        <f t="shared" ref="I104:X104" si="109">I101-I103</f>
        <v>307.66737506622053</v>
      </c>
      <c r="J104" s="242">
        <f t="shared" si="109"/>
        <v>435.44835007946386</v>
      </c>
      <c r="K104" s="341">
        <f t="shared" si="109"/>
        <v>741.82085789765506</v>
      </c>
      <c r="L104" s="242">
        <f t="shared" si="109"/>
        <v>888.55866010517559</v>
      </c>
      <c r="M104" s="242">
        <f t="shared" si="109"/>
        <v>1039.7122315473521</v>
      </c>
      <c r="N104" s="242">
        <f t="shared" si="109"/>
        <v>1076.1753078402764</v>
      </c>
      <c r="O104" s="242">
        <f t="shared" si="109"/>
        <v>1109.2783682183099</v>
      </c>
      <c r="P104" s="242">
        <f t="shared" si="109"/>
        <v>1142.6926469563559</v>
      </c>
      <c r="Q104" s="242">
        <f t="shared" si="109"/>
        <v>1176.4219031327143</v>
      </c>
      <c r="R104" s="242">
        <f t="shared" si="109"/>
        <v>1206.4563075856772</v>
      </c>
      <c r="S104" s="242">
        <f t="shared" si="109"/>
        <v>1232.5909726332407</v>
      </c>
      <c r="T104" s="242">
        <f t="shared" si="109"/>
        <v>1258.7732101923232</v>
      </c>
      <c r="U104" s="242">
        <f t="shared" si="109"/>
        <v>1284.999791898171</v>
      </c>
      <c r="V104" s="242">
        <f t="shared" si="109"/>
        <v>1311.2673579416994</v>
      </c>
      <c r="W104" s="242">
        <f t="shared" si="109"/>
        <v>1337.5724133705612</v>
      </c>
      <c r="X104" s="242">
        <f t="shared" si="109"/>
        <v>1363.9113242991455</v>
      </c>
      <c r="Y104" s="242">
        <f t="shared" ref="Y104:AA104" si="110">Y101-Y103</f>
        <v>1390.2803140253507</v>
      </c>
      <c r="Z104" s="242">
        <f t="shared" si="110"/>
        <v>1416.6754590520436</v>
      </c>
      <c r="AA104" s="242">
        <f t="shared" si="110"/>
        <v>1443.092685010972</v>
      </c>
    </row>
    <row r="105" spans="1:27" s="66" customFormat="1" ht="15" customHeight="1" outlineLevel="1">
      <c r="B105" s="200"/>
      <c r="C105" s="247"/>
      <c r="D105" s="133"/>
      <c r="E105" s="133"/>
      <c r="F105" s="278"/>
      <c r="G105" s="278"/>
      <c r="H105" s="242"/>
      <c r="I105" s="242"/>
      <c r="J105" s="242"/>
      <c r="K105" s="242"/>
      <c r="L105" s="242"/>
      <c r="M105" s="242"/>
      <c r="N105" s="242"/>
      <c r="O105" s="242"/>
      <c r="P105" s="242"/>
    </row>
    <row r="106" spans="1:27" s="66" customFormat="1" ht="15" customHeight="1" outlineLevel="1">
      <c r="B106" s="132" t="s">
        <v>93</v>
      </c>
      <c r="C106" s="133"/>
      <c r="D106" s="133"/>
      <c r="E106" s="133"/>
      <c r="F106" s="278"/>
      <c r="G106" s="278"/>
      <c r="H106" s="224">
        <f>MAX(H104*$C$88,0)</f>
        <v>37.991178759571952</v>
      </c>
      <c r="I106" s="224">
        <f t="shared" ref="I106:AA106" si="111">MAX(I104*$C$88,0)</f>
        <v>63.379479263641429</v>
      </c>
      <c r="J106" s="224">
        <f t="shared" si="111"/>
        <v>89.702360116369547</v>
      </c>
      <c r="K106" s="224">
        <f t="shared" si="111"/>
        <v>152.81509672691692</v>
      </c>
      <c r="L106" s="224">
        <f t="shared" si="111"/>
        <v>183.04308398166617</v>
      </c>
      <c r="M106" s="224">
        <f t="shared" si="111"/>
        <v>214.18071969875453</v>
      </c>
      <c r="N106" s="224">
        <f t="shared" si="111"/>
        <v>221.69211341509694</v>
      </c>
      <c r="O106" s="224">
        <f t="shared" si="111"/>
        <v>228.51134385297183</v>
      </c>
      <c r="P106" s="224">
        <f t="shared" si="111"/>
        <v>235.39468527300932</v>
      </c>
      <c r="Q106" s="224">
        <f t="shared" si="111"/>
        <v>242.34291204533915</v>
      </c>
      <c r="R106" s="224">
        <f t="shared" si="111"/>
        <v>248.52999936264951</v>
      </c>
      <c r="S106" s="224">
        <f t="shared" si="111"/>
        <v>253.91374036244756</v>
      </c>
      <c r="T106" s="224">
        <f t="shared" si="111"/>
        <v>259.30728129961858</v>
      </c>
      <c r="U106" s="224">
        <f t="shared" si="111"/>
        <v>264.7099571310232</v>
      </c>
      <c r="V106" s="224">
        <f t="shared" si="111"/>
        <v>270.12107573599008</v>
      </c>
      <c r="W106" s="224">
        <f t="shared" si="111"/>
        <v>275.53991715433557</v>
      </c>
      <c r="X106" s="224">
        <f t="shared" si="111"/>
        <v>280.96573280562393</v>
      </c>
      <c r="Y106" s="224">
        <f t="shared" si="111"/>
        <v>286.39774468922224</v>
      </c>
      <c r="Z106" s="224">
        <f t="shared" si="111"/>
        <v>291.83514456472096</v>
      </c>
      <c r="AA106" s="224">
        <f t="shared" si="111"/>
        <v>297.27709311226022</v>
      </c>
    </row>
    <row r="107" spans="1:27" s="66" customFormat="1" ht="15" customHeight="1" outlineLevel="1">
      <c r="B107" s="132"/>
      <c r="C107" s="133"/>
      <c r="D107" s="133"/>
      <c r="E107" s="133"/>
      <c r="F107" s="278"/>
      <c r="G107" s="278"/>
      <c r="H107" s="275"/>
      <c r="I107" s="274"/>
      <c r="J107" s="274"/>
      <c r="K107" s="274"/>
      <c r="L107" s="274"/>
      <c r="M107" s="274"/>
      <c r="N107" s="274"/>
      <c r="O107" s="274"/>
      <c r="P107" s="274"/>
    </row>
    <row r="108" spans="1:27" s="66" customFormat="1" ht="15" customHeight="1" outlineLevel="1" thickBot="1">
      <c r="B108" s="200" t="s">
        <v>73</v>
      </c>
      <c r="C108" s="247"/>
      <c r="D108" s="133"/>
      <c r="E108" s="133"/>
      <c r="F108" s="278"/>
      <c r="G108" s="278"/>
      <c r="H108" s="273">
        <f>H104-H106</f>
        <v>146.43201910242783</v>
      </c>
      <c r="I108" s="273">
        <f t="shared" ref="I108:X108" si="112">I104-I106</f>
        <v>244.2878958025791</v>
      </c>
      <c r="J108" s="273">
        <f t="shared" si="112"/>
        <v>345.7459899630943</v>
      </c>
      <c r="K108" s="342">
        <f t="shared" si="112"/>
        <v>589.0057611707382</v>
      </c>
      <c r="L108" s="273">
        <f t="shared" si="112"/>
        <v>705.51557612350939</v>
      </c>
      <c r="M108" s="273">
        <f t="shared" si="112"/>
        <v>825.53151184859757</v>
      </c>
      <c r="N108" s="273">
        <f t="shared" si="112"/>
        <v>854.48319442517948</v>
      </c>
      <c r="O108" s="273">
        <f t="shared" si="112"/>
        <v>880.7670243653381</v>
      </c>
      <c r="P108" s="273">
        <f t="shared" si="112"/>
        <v>907.29796168334656</v>
      </c>
      <c r="Q108" s="273">
        <f t="shared" si="112"/>
        <v>934.07899108737513</v>
      </c>
      <c r="R108" s="273">
        <f t="shared" si="112"/>
        <v>957.92630822302772</v>
      </c>
      <c r="S108" s="273">
        <f t="shared" si="112"/>
        <v>978.67723227079307</v>
      </c>
      <c r="T108" s="273">
        <f t="shared" si="112"/>
        <v>999.4659288927046</v>
      </c>
      <c r="U108" s="273">
        <f t="shared" si="112"/>
        <v>1020.2898347671478</v>
      </c>
      <c r="V108" s="273">
        <f t="shared" si="112"/>
        <v>1041.1462822057092</v>
      </c>
      <c r="W108" s="273">
        <f t="shared" si="112"/>
        <v>1062.0324962162256</v>
      </c>
      <c r="X108" s="273">
        <f t="shared" si="112"/>
        <v>1082.9455914935215</v>
      </c>
      <c r="Y108" s="273">
        <f t="shared" ref="Y108:AA108" si="113">Y104-Y106</f>
        <v>1103.8825693361284</v>
      </c>
      <c r="Z108" s="273">
        <f t="shared" si="113"/>
        <v>1124.8403144873228</v>
      </c>
      <c r="AA108" s="273">
        <f t="shared" si="113"/>
        <v>1145.8155918987118</v>
      </c>
    </row>
    <row r="109" spans="1:27" s="66" customFormat="1" ht="15" customHeight="1" outlineLevel="1">
      <c r="B109" s="247"/>
      <c r="C109" s="247"/>
      <c r="D109" s="133"/>
      <c r="E109" s="133"/>
      <c r="F109" s="278"/>
      <c r="G109" s="278"/>
      <c r="H109" s="272"/>
      <c r="I109" s="272"/>
      <c r="J109" s="272"/>
      <c r="K109" s="272"/>
      <c r="L109" s="272"/>
      <c r="M109" s="272"/>
      <c r="N109" s="271"/>
    </row>
    <row r="110" spans="1:27" s="66" customFormat="1" ht="15" customHeight="1" outlineLevel="1">
      <c r="B110" s="238"/>
      <c r="C110" s="238"/>
      <c r="D110" s="237"/>
      <c r="E110" s="237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  <c r="AA110" s="270"/>
    </row>
    <row r="111" spans="1:27" s="66" customFormat="1" ht="15" customHeight="1">
      <c r="B111" s="68"/>
      <c r="C111" s="72"/>
      <c r="D111" s="261"/>
      <c r="E111" s="133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</row>
    <row r="112" spans="1:27" s="95" customFormat="1" ht="15" customHeight="1">
      <c r="A112" s="95" t="s">
        <v>0</v>
      </c>
      <c r="B112" s="108" t="s">
        <v>92</v>
      </c>
      <c r="C112" s="107"/>
      <c r="D112" s="106"/>
      <c r="E112" s="106"/>
      <c r="F112" s="105"/>
      <c r="G112" s="105"/>
      <c r="H112" s="105"/>
      <c r="I112" s="105"/>
      <c r="J112" s="105"/>
      <c r="K112" s="105"/>
      <c r="L112" s="105"/>
      <c r="M112" s="10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</row>
    <row r="113" spans="1:28" s="95" customFormat="1" ht="15" customHeight="1" outlineLevel="1">
      <c r="B113" s="192"/>
      <c r="C113" s="104"/>
      <c r="D113" s="103"/>
      <c r="E113" s="103"/>
      <c r="F113" s="102"/>
      <c r="G113" s="102"/>
      <c r="H113" s="102"/>
      <c r="I113" s="102"/>
      <c r="J113" s="102"/>
      <c r="K113" s="102"/>
      <c r="L113" s="102"/>
      <c r="M113" s="102"/>
      <c r="O113" s="223"/>
    </row>
    <row r="114" spans="1:28" s="95" customFormat="1" ht="15" customHeight="1" outlineLevel="1">
      <c r="B114" s="86" t="s">
        <v>134</v>
      </c>
      <c r="C114" s="302"/>
      <c r="D114" s="302"/>
      <c r="E114" s="302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</row>
    <row r="115" spans="1:28" ht="15" customHeight="1" outlineLevel="1" thickBot="1">
      <c r="A115" s="66"/>
      <c r="B115" s="86" t="str" cm="1">
        <f t="array" ref="B115">CONCATENATE("Model Drivers: ",INDEX(Inputs!$B$96:$B$98,Inputs!$D$86)," &amp; ",INDEX(Inputs!$B$143:$B$144,Inputs!$D$139)," Financing")</f>
        <v>Model Drivers: Base Case &amp; Two Phased  Financing</v>
      </c>
      <c r="C115" s="104"/>
      <c r="D115" s="96"/>
      <c r="E115" s="96"/>
      <c r="F115" s="245">
        <v>2025</v>
      </c>
      <c r="G115" s="245">
        <v>2026</v>
      </c>
      <c r="H115" s="316">
        <f>Inputs!$F$8</f>
        <v>2027</v>
      </c>
      <c r="I115" s="316">
        <f>H115+1</f>
        <v>2028</v>
      </c>
      <c r="J115" s="316">
        <f t="shared" ref="J115" si="114">I115+1</f>
        <v>2029</v>
      </c>
      <c r="K115" s="317">
        <f t="shared" ref="K115" si="115">J115+1</f>
        <v>2030</v>
      </c>
      <c r="L115" s="317">
        <f t="shared" ref="L115" si="116">K115+1</f>
        <v>2031</v>
      </c>
      <c r="M115" s="317">
        <f t="shared" ref="M115" si="117">L115+1</f>
        <v>2032</v>
      </c>
      <c r="N115" s="317">
        <f t="shared" ref="N115" si="118">M115+1</f>
        <v>2033</v>
      </c>
      <c r="O115" s="317">
        <f t="shared" ref="O115" si="119">N115+1</f>
        <v>2034</v>
      </c>
      <c r="P115" s="317">
        <f t="shared" ref="P115" si="120">O115+1</f>
        <v>2035</v>
      </c>
      <c r="Q115" s="317">
        <f t="shared" ref="Q115" si="121">P115+1</f>
        <v>2036</v>
      </c>
      <c r="R115" s="317">
        <f t="shared" ref="R115" si="122">Q115+1</f>
        <v>2037</v>
      </c>
      <c r="S115" s="317">
        <f t="shared" ref="S115" si="123">R115+1</f>
        <v>2038</v>
      </c>
      <c r="T115" s="317">
        <f t="shared" ref="T115" si="124">S115+1</f>
        <v>2039</v>
      </c>
      <c r="U115" s="317">
        <f t="shared" ref="U115" si="125">T115+1</f>
        <v>2040</v>
      </c>
      <c r="V115" s="317">
        <f>U115+1</f>
        <v>2041</v>
      </c>
      <c r="W115" s="317">
        <f t="shared" ref="W115" si="126">V115+1</f>
        <v>2042</v>
      </c>
      <c r="X115" s="317">
        <f t="shared" ref="X115" si="127">W115+1</f>
        <v>2043</v>
      </c>
      <c r="Y115" s="317">
        <f t="shared" ref="Y115" si="128">X115+1</f>
        <v>2044</v>
      </c>
      <c r="Z115" s="317">
        <f t="shared" ref="Z115" si="129">Y115+1</f>
        <v>2045</v>
      </c>
      <c r="AA115" s="317">
        <f t="shared" ref="AA115" si="130">Z115+1</f>
        <v>2046</v>
      </c>
    </row>
    <row r="116" spans="1:28" s="95" customFormat="1" ht="15" customHeight="1" outlineLevel="1">
      <c r="B116" s="86"/>
      <c r="C116" s="104"/>
      <c r="D116" s="96"/>
      <c r="E116" s="96"/>
      <c r="F116" s="96"/>
      <c r="G116" s="96"/>
      <c r="H116" s="96"/>
      <c r="O116" s="223"/>
    </row>
    <row r="117" spans="1:28" s="66" customFormat="1" ht="15" customHeight="1" outlineLevel="1">
      <c r="B117" s="132" t="s">
        <v>30</v>
      </c>
      <c r="C117" s="72"/>
      <c r="D117" s="261"/>
      <c r="E117" s="133"/>
      <c r="F117" s="133"/>
      <c r="G117" s="133"/>
      <c r="H117" s="233">
        <v>365</v>
      </c>
      <c r="I117" s="233">
        <v>365</v>
      </c>
      <c r="J117" s="233">
        <v>365</v>
      </c>
      <c r="K117" s="233">
        <v>365</v>
      </c>
      <c r="L117" s="233">
        <v>365</v>
      </c>
      <c r="M117" s="233">
        <v>365</v>
      </c>
      <c r="N117" s="233">
        <v>365</v>
      </c>
      <c r="O117" s="233">
        <v>365</v>
      </c>
      <c r="P117" s="233">
        <v>365</v>
      </c>
      <c r="Q117" s="233">
        <v>365</v>
      </c>
      <c r="R117" s="233">
        <v>365</v>
      </c>
      <c r="S117" s="233">
        <v>365</v>
      </c>
      <c r="T117" s="233">
        <v>365</v>
      </c>
      <c r="U117" s="233">
        <v>365</v>
      </c>
      <c r="V117" s="233">
        <v>365</v>
      </c>
      <c r="W117" s="233">
        <v>365</v>
      </c>
      <c r="X117" s="233">
        <v>365</v>
      </c>
      <c r="Y117" s="233">
        <v>365</v>
      </c>
      <c r="Z117" s="233">
        <v>365</v>
      </c>
      <c r="AA117" s="233">
        <v>365</v>
      </c>
    </row>
    <row r="118" spans="1:28" s="66" customFormat="1" ht="15" customHeight="1" outlineLevel="1">
      <c r="B118" s="132" t="s">
        <v>91</v>
      </c>
      <c r="C118" s="133"/>
      <c r="D118" s="133"/>
      <c r="E118" s="133"/>
      <c r="F118" s="133"/>
      <c r="G118" s="133"/>
      <c r="H118" s="90">
        <f>H$90</f>
        <v>1837.4285915999997</v>
      </c>
      <c r="I118" s="90">
        <f t="shared" ref="I118:AA118" si="131">I$90</f>
        <v>2275.7865555960002</v>
      </c>
      <c r="J118" s="90">
        <f t="shared" si="131"/>
        <v>2730.9438667151999</v>
      </c>
      <c r="K118" s="90">
        <f t="shared" si="131"/>
        <v>4730.8140603107404</v>
      </c>
      <c r="L118" s="90">
        <f t="shared" si="131"/>
        <v>5246.055368114583</v>
      </c>
      <c r="M118" s="90">
        <f t="shared" si="131"/>
        <v>5779.1680217391995</v>
      </c>
      <c r="N118" s="90">
        <f t="shared" si="131"/>
        <v>5888.9722141522443</v>
      </c>
      <c r="O118" s="90">
        <f t="shared" si="131"/>
        <v>5994.9737140069847</v>
      </c>
      <c r="P118" s="90">
        <f t="shared" si="131"/>
        <v>6102.8832408591097</v>
      </c>
      <c r="Q118" s="90">
        <f t="shared" si="131"/>
        <v>6212.735139194574</v>
      </c>
      <c r="R118" s="90">
        <f t="shared" si="131"/>
        <v>6318.3516365608812</v>
      </c>
      <c r="S118" s="90">
        <f t="shared" si="131"/>
        <v>6419.4452627458559</v>
      </c>
      <c r="T118" s="90">
        <f t="shared" si="131"/>
        <v>6522.1563869497895</v>
      </c>
      <c r="U118" s="90">
        <f t="shared" si="131"/>
        <v>6626.5108891409855</v>
      </c>
      <c r="V118" s="90">
        <f t="shared" si="131"/>
        <v>6732.5350633672424</v>
      </c>
      <c r="W118" s="90">
        <f t="shared" si="131"/>
        <v>6840.2556243811177</v>
      </c>
      <c r="X118" s="90">
        <f t="shared" si="131"/>
        <v>6949.6997143712151</v>
      </c>
      <c r="Y118" s="90">
        <f t="shared" si="131"/>
        <v>7060.8949098011544</v>
      </c>
      <c r="Z118" s="90">
        <f t="shared" si="131"/>
        <v>7173.869228357974</v>
      </c>
      <c r="AA118" s="90">
        <f t="shared" si="131"/>
        <v>7288.651136011702</v>
      </c>
    </row>
    <row r="119" spans="1:28" s="66" customFormat="1" ht="15" customHeight="1" outlineLevel="1">
      <c r="B119" s="132" t="s">
        <v>90</v>
      </c>
      <c r="C119" s="133"/>
      <c r="D119" s="133"/>
      <c r="E119" s="133"/>
      <c r="F119" s="133"/>
      <c r="G119" s="133"/>
      <c r="H119" s="226">
        <f>H$91</f>
        <v>1237.6968211999999</v>
      </c>
      <c r="I119" s="226">
        <f t="shared" ref="I119:AA119" si="132">I$91</f>
        <v>1532.9759199719997</v>
      </c>
      <c r="J119" s="226">
        <f t="shared" si="132"/>
        <v>1839.5711039664</v>
      </c>
      <c r="K119" s="226">
        <f t="shared" si="132"/>
        <v>3188.4282990959946</v>
      </c>
      <c r="L119" s="226">
        <f t="shared" si="132"/>
        <v>3537.6162478101642</v>
      </c>
      <c r="M119" s="226">
        <f t="shared" si="132"/>
        <v>3899.243421038309</v>
      </c>
      <c r="N119" s="226">
        <f t="shared" si="132"/>
        <v>3975.5004969577308</v>
      </c>
      <c r="O119" s="226">
        <f t="shared" si="132"/>
        <v>4051.4892657791452</v>
      </c>
      <c r="P119" s="226">
        <f t="shared" si="132"/>
        <v>4128.9344276368683</v>
      </c>
      <c r="Q119" s="226">
        <f t="shared" si="132"/>
        <v>4207.8639695095044</v>
      </c>
      <c r="R119" s="226">
        <f t="shared" si="132"/>
        <v>4286.4490019191799</v>
      </c>
      <c r="S119" s="226">
        <f t="shared" si="132"/>
        <v>4364.6220150519848</v>
      </c>
      <c r="T119" s="226">
        <f t="shared" si="132"/>
        <v>4444.2375929769569</v>
      </c>
      <c r="U119" s="226">
        <f t="shared" si="132"/>
        <v>4525.3226526624121</v>
      </c>
      <c r="V119" s="226">
        <f t="shared" si="132"/>
        <v>4607.9046184667905</v>
      </c>
      <c r="W119" s="226">
        <f t="shared" si="132"/>
        <v>4692.0114317912758</v>
      </c>
      <c r="X119" s="226">
        <f t="shared" si="132"/>
        <v>4777.6715609175317</v>
      </c>
      <c r="Y119" s="226">
        <f t="shared" si="132"/>
        <v>4864.9140110341605</v>
      </c>
      <c r="Z119" s="226">
        <f t="shared" si="132"/>
        <v>4953.7683344554925</v>
      </c>
      <c r="AA119" s="226">
        <f t="shared" si="132"/>
        <v>5044.2646410364632</v>
      </c>
    </row>
    <row r="120" spans="1:28" s="66" customFormat="1" ht="15" customHeight="1" outlineLevel="1">
      <c r="C120" s="247"/>
      <c r="D120" s="133"/>
      <c r="E120" s="133"/>
      <c r="F120" s="133"/>
      <c r="G120" s="133"/>
      <c r="H120" s="133"/>
      <c r="I120" s="263"/>
      <c r="J120" s="263"/>
      <c r="K120" s="263"/>
      <c r="L120" s="263"/>
      <c r="M120" s="263"/>
      <c r="N120" s="263"/>
      <c r="O120" s="223"/>
    </row>
    <row r="121" spans="1:28" s="66" customFormat="1" ht="15" customHeight="1" outlineLevel="1">
      <c r="C121" s="247"/>
      <c r="D121" s="133"/>
      <c r="E121" s="133"/>
      <c r="F121" s="133"/>
      <c r="G121" s="133"/>
      <c r="H121" s="133"/>
      <c r="I121" s="263"/>
      <c r="J121" s="263"/>
      <c r="K121" s="263"/>
      <c r="L121" s="263"/>
      <c r="M121" s="263"/>
      <c r="N121" s="263"/>
      <c r="O121" s="223"/>
    </row>
    <row r="122" spans="1:28" s="66" customFormat="1" ht="15" customHeight="1" outlineLevel="1">
      <c r="B122" s="78" t="s">
        <v>89</v>
      </c>
      <c r="C122" s="247"/>
      <c r="D122" s="133"/>
      <c r="E122" s="133"/>
      <c r="F122" s="133"/>
      <c r="G122" s="133"/>
      <c r="H122" s="133"/>
      <c r="I122" s="263"/>
      <c r="J122" s="263"/>
      <c r="K122" s="263"/>
      <c r="L122" s="263"/>
      <c r="M122" s="263"/>
      <c r="N122" s="263"/>
      <c r="O122" s="223"/>
    </row>
    <row r="123" spans="1:28" s="66" customFormat="1" ht="15" customHeight="1" outlineLevel="1">
      <c r="B123" s="222" t="s">
        <v>66</v>
      </c>
      <c r="C123" s="133"/>
      <c r="D123" s="261" t="s">
        <v>63</v>
      </c>
      <c r="E123" s="261"/>
      <c r="F123" s="248"/>
      <c r="G123" s="248"/>
      <c r="H123" s="248">
        <f>Inputs!H$130</f>
        <v>40</v>
      </c>
      <c r="I123" s="248">
        <f>Inputs!I$130</f>
        <v>40</v>
      </c>
      <c r="J123" s="248">
        <f>Inputs!J$130</f>
        <v>40</v>
      </c>
      <c r="K123" s="248">
        <f>Inputs!K$130</f>
        <v>40</v>
      </c>
      <c r="L123" s="248">
        <f>Inputs!L$130</f>
        <v>40</v>
      </c>
      <c r="M123" s="248">
        <f>Inputs!M$130</f>
        <v>40</v>
      </c>
      <c r="N123" s="248">
        <f>Inputs!N$130</f>
        <v>40</v>
      </c>
      <c r="O123" s="248">
        <f>Inputs!O$130</f>
        <v>40</v>
      </c>
      <c r="P123" s="248">
        <f>Inputs!P$130</f>
        <v>40</v>
      </c>
      <c r="Q123" s="248">
        <f>Inputs!Q$130</f>
        <v>40</v>
      </c>
      <c r="R123" s="248">
        <f>Inputs!R$130</f>
        <v>40</v>
      </c>
      <c r="S123" s="248">
        <f>Inputs!S$130</f>
        <v>40</v>
      </c>
      <c r="T123" s="248">
        <f>Inputs!T$130</f>
        <v>40</v>
      </c>
      <c r="U123" s="248">
        <f>Inputs!U$130</f>
        <v>40</v>
      </c>
      <c r="V123" s="248">
        <f>Inputs!V$130</f>
        <v>40</v>
      </c>
      <c r="W123" s="248">
        <f>Inputs!W$130</f>
        <v>40</v>
      </c>
      <c r="X123" s="248">
        <f>Inputs!X$130</f>
        <v>40</v>
      </c>
      <c r="Y123" s="248">
        <f>Inputs!Y$130</f>
        <v>40</v>
      </c>
      <c r="Z123" s="248">
        <f>Inputs!Z$130</f>
        <v>40</v>
      </c>
      <c r="AA123" s="248">
        <f>Inputs!AA$130</f>
        <v>40</v>
      </c>
      <c r="AB123" s="248"/>
    </row>
    <row r="124" spans="1:28" s="66" customFormat="1" ht="15" customHeight="1" outlineLevel="1">
      <c r="B124" s="222" t="s">
        <v>65</v>
      </c>
      <c r="C124" s="133"/>
      <c r="D124" s="261" t="s">
        <v>63</v>
      </c>
      <c r="E124" s="261"/>
      <c r="F124" s="248"/>
      <c r="G124" s="248"/>
      <c r="H124" s="248">
        <f>Inputs!H$131</f>
        <v>50</v>
      </c>
      <c r="I124" s="248">
        <f>Inputs!I$131</f>
        <v>50</v>
      </c>
      <c r="J124" s="248">
        <f>Inputs!J$131</f>
        <v>50</v>
      </c>
      <c r="K124" s="248">
        <f>Inputs!K$131</f>
        <v>50</v>
      </c>
      <c r="L124" s="248">
        <f>Inputs!L$131</f>
        <v>50</v>
      </c>
      <c r="M124" s="248">
        <f>Inputs!M$131</f>
        <v>50</v>
      </c>
      <c r="N124" s="248">
        <f>Inputs!N$131</f>
        <v>50</v>
      </c>
      <c r="O124" s="248">
        <f>Inputs!O$131</f>
        <v>50</v>
      </c>
      <c r="P124" s="248">
        <f>Inputs!P$131</f>
        <v>50</v>
      </c>
      <c r="Q124" s="248">
        <f>Inputs!Q$131</f>
        <v>50</v>
      </c>
      <c r="R124" s="248">
        <f>Inputs!R$131</f>
        <v>50</v>
      </c>
      <c r="S124" s="248">
        <f>Inputs!S$131</f>
        <v>50</v>
      </c>
      <c r="T124" s="248">
        <f>Inputs!T$131</f>
        <v>50</v>
      </c>
      <c r="U124" s="248">
        <f>Inputs!U$131</f>
        <v>50</v>
      </c>
      <c r="V124" s="248">
        <f>Inputs!V$131</f>
        <v>50</v>
      </c>
      <c r="W124" s="248">
        <f>Inputs!W$131</f>
        <v>50</v>
      </c>
      <c r="X124" s="248">
        <f>Inputs!X$131</f>
        <v>50</v>
      </c>
      <c r="Y124" s="248">
        <f>Inputs!Y$131</f>
        <v>50</v>
      </c>
      <c r="Z124" s="248">
        <f>Inputs!Z$131</f>
        <v>50</v>
      </c>
      <c r="AA124" s="248">
        <f>Inputs!AA$131</f>
        <v>50</v>
      </c>
      <c r="AB124" s="248"/>
    </row>
    <row r="125" spans="1:28" s="66" customFormat="1" ht="15" customHeight="1" outlineLevel="1">
      <c r="B125" s="222" t="s">
        <v>64</v>
      </c>
      <c r="C125" s="133"/>
      <c r="D125" s="261" t="s">
        <v>63</v>
      </c>
      <c r="E125" s="261"/>
      <c r="F125" s="248"/>
      <c r="G125" s="248"/>
      <c r="H125" s="248">
        <f>Inputs!H$132</f>
        <v>60</v>
      </c>
      <c r="I125" s="248">
        <f>Inputs!I$132</f>
        <v>60</v>
      </c>
      <c r="J125" s="248">
        <f>Inputs!J$132</f>
        <v>60</v>
      </c>
      <c r="K125" s="248">
        <f>Inputs!K$132</f>
        <v>60</v>
      </c>
      <c r="L125" s="248">
        <f>Inputs!L$132</f>
        <v>60</v>
      </c>
      <c r="M125" s="248">
        <f>Inputs!M$132</f>
        <v>60</v>
      </c>
      <c r="N125" s="248">
        <f>Inputs!N$132</f>
        <v>60</v>
      </c>
      <c r="O125" s="248">
        <f>Inputs!O$132</f>
        <v>60</v>
      </c>
      <c r="P125" s="248">
        <f>Inputs!P$132</f>
        <v>60</v>
      </c>
      <c r="Q125" s="248">
        <f>Inputs!Q$132</f>
        <v>60</v>
      </c>
      <c r="R125" s="248">
        <f>Inputs!R$132</f>
        <v>60</v>
      </c>
      <c r="S125" s="248">
        <f>Inputs!S$132</f>
        <v>60</v>
      </c>
      <c r="T125" s="248">
        <f>Inputs!T$132</f>
        <v>60</v>
      </c>
      <c r="U125" s="248">
        <f>Inputs!U$132</f>
        <v>60</v>
      </c>
      <c r="V125" s="248">
        <f>Inputs!V$132</f>
        <v>60</v>
      </c>
      <c r="W125" s="248">
        <f>Inputs!W$132</f>
        <v>60</v>
      </c>
      <c r="X125" s="248">
        <f>Inputs!X$132</f>
        <v>60</v>
      </c>
      <c r="Y125" s="248">
        <f>Inputs!Y$132</f>
        <v>60</v>
      </c>
      <c r="Z125" s="248">
        <f>Inputs!Z$132</f>
        <v>60</v>
      </c>
      <c r="AA125" s="248">
        <f>Inputs!AA$132</f>
        <v>60</v>
      </c>
      <c r="AB125" s="248"/>
    </row>
    <row r="126" spans="1:28" s="66" customFormat="1" ht="15" customHeight="1" outlineLevel="1">
      <c r="C126" s="133"/>
      <c r="D126" s="269"/>
      <c r="E126" s="269"/>
      <c r="F126" s="268"/>
      <c r="G126" s="267"/>
      <c r="H126" s="267"/>
      <c r="I126" s="266"/>
      <c r="J126" s="266"/>
      <c r="K126" s="266"/>
      <c r="L126" s="266"/>
      <c r="M126" s="266"/>
      <c r="N126" s="266"/>
    </row>
    <row r="127" spans="1:28" s="66" customFormat="1" ht="15" customHeight="1" outlineLevel="1">
      <c r="C127" s="133"/>
      <c r="D127" s="269"/>
      <c r="E127" s="269"/>
      <c r="F127" s="268"/>
      <c r="G127" s="267"/>
      <c r="H127" s="267"/>
      <c r="I127" s="266"/>
      <c r="J127" s="266"/>
      <c r="K127" s="266"/>
      <c r="L127" s="266"/>
      <c r="M127" s="266"/>
      <c r="N127" s="266"/>
    </row>
    <row r="128" spans="1:28" s="66" customFormat="1" ht="15" customHeight="1" outlineLevel="1">
      <c r="B128" s="78" t="s">
        <v>88</v>
      </c>
      <c r="C128" s="247"/>
      <c r="D128" s="133"/>
      <c r="E128" s="133"/>
      <c r="F128" s="133"/>
      <c r="G128" s="133"/>
      <c r="H128" s="133"/>
      <c r="I128" s="263"/>
      <c r="J128" s="263"/>
      <c r="K128" s="263"/>
      <c r="L128" s="263"/>
      <c r="M128" s="263"/>
      <c r="N128" s="263"/>
      <c r="O128" s="223"/>
    </row>
    <row r="129" spans="1:27" s="66" customFormat="1" ht="15" customHeight="1" outlineLevel="1">
      <c r="B129" s="222" t="s">
        <v>66</v>
      </c>
      <c r="C129" s="133"/>
      <c r="D129" s="133"/>
      <c r="E129" s="133"/>
      <c r="F129" s="228"/>
      <c r="G129" s="228"/>
      <c r="H129" s="90">
        <f>(H123/H$117)*H118</f>
        <v>201.3620374356164</v>
      </c>
      <c r="I129" s="90">
        <f t="shared" ref="I129:AA129" si="133">(I123/I$117)*I118</f>
        <v>249.40126636668495</v>
      </c>
      <c r="J129" s="90">
        <f t="shared" si="133"/>
        <v>299.28151964002188</v>
      </c>
      <c r="K129" s="90">
        <f t="shared" si="133"/>
        <v>518.44537647240986</v>
      </c>
      <c r="L129" s="90">
        <f t="shared" si="133"/>
        <v>574.91017732762555</v>
      </c>
      <c r="M129" s="90">
        <f t="shared" si="133"/>
        <v>633.33348183443275</v>
      </c>
      <c r="N129" s="90">
        <f t="shared" si="133"/>
        <v>645.36681798928703</v>
      </c>
      <c r="O129" s="90">
        <f t="shared" si="133"/>
        <v>656.98342071309412</v>
      </c>
      <c r="P129" s="90">
        <f t="shared" si="133"/>
        <v>668.80912228592979</v>
      </c>
      <c r="Q129" s="90">
        <f t="shared" si="133"/>
        <v>680.84768648707654</v>
      </c>
      <c r="R129" s="90">
        <f t="shared" si="133"/>
        <v>692.4220971573568</v>
      </c>
      <c r="S129" s="90">
        <f t="shared" si="133"/>
        <v>703.50085071187459</v>
      </c>
      <c r="T129" s="90">
        <f t="shared" si="133"/>
        <v>714.75686432326461</v>
      </c>
      <c r="U129" s="90">
        <f t="shared" si="133"/>
        <v>726.1929741524367</v>
      </c>
      <c r="V129" s="90">
        <f t="shared" si="133"/>
        <v>737.81206173887585</v>
      </c>
      <c r="W129" s="90">
        <f t="shared" si="133"/>
        <v>749.6170547266978</v>
      </c>
      <c r="X129" s="90">
        <f t="shared" si="133"/>
        <v>761.61092760232486</v>
      </c>
      <c r="Y129" s="90">
        <f t="shared" si="133"/>
        <v>773.79670244396209</v>
      </c>
      <c r="Z129" s="90">
        <f t="shared" si="133"/>
        <v>786.17744968306556</v>
      </c>
      <c r="AA129" s="90">
        <f t="shared" si="133"/>
        <v>798.75628887799473</v>
      </c>
    </row>
    <row r="130" spans="1:27" s="66" customFormat="1" ht="15" customHeight="1" outlineLevel="1">
      <c r="B130" s="222" t="s">
        <v>65</v>
      </c>
      <c r="C130" s="133"/>
      <c r="D130" s="133"/>
      <c r="E130" s="133"/>
      <c r="F130" s="228"/>
      <c r="G130" s="228"/>
      <c r="H130" s="90">
        <f>(H124/H$117)*H119</f>
        <v>169.54750975342463</v>
      </c>
      <c r="I130" s="90">
        <f t="shared" ref="I130:AA130" si="134">(I124/I$117)*I119</f>
        <v>209.99670136602734</v>
      </c>
      <c r="J130" s="90">
        <f t="shared" si="134"/>
        <v>251.99604163923286</v>
      </c>
      <c r="K130" s="90">
        <f t="shared" si="134"/>
        <v>436.77099987616361</v>
      </c>
      <c r="L130" s="90">
        <f t="shared" si="134"/>
        <v>484.60496545344711</v>
      </c>
      <c r="M130" s="90">
        <f t="shared" si="134"/>
        <v>534.14293438880941</v>
      </c>
      <c r="N130" s="90">
        <f t="shared" si="134"/>
        <v>544.58910917229184</v>
      </c>
      <c r="O130" s="90">
        <f t="shared" si="134"/>
        <v>554.99852955878703</v>
      </c>
      <c r="P130" s="90">
        <f t="shared" si="134"/>
        <v>565.60745584066683</v>
      </c>
      <c r="Q130" s="90">
        <f t="shared" si="134"/>
        <v>576.41972185061695</v>
      </c>
      <c r="R130" s="90">
        <f t="shared" si="134"/>
        <v>587.18479478344932</v>
      </c>
      <c r="S130" s="90">
        <f t="shared" si="134"/>
        <v>597.89342671944996</v>
      </c>
      <c r="T130" s="90">
        <f t="shared" si="134"/>
        <v>608.79967027081602</v>
      </c>
      <c r="U130" s="90">
        <f t="shared" si="134"/>
        <v>619.90721269348103</v>
      </c>
      <c r="V130" s="90">
        <f t="shared" si="134"/>
        <v>631.21981074887537</v>
      </c>
      <c r="W130" s="90">
        <f t="shared" si="134"/>
        <v>642.74129202620213</v>
      </c>
      <c r="X130" s="90">
        <f t="shared" si="134"/>
        <v>654.47555629007275</v>
      </c>
      <c r="Y130" s="90">
        <f t="shared" si="134"/>
        <v>666.42657685399456</v>
      </c>
      <c r="Z130" s="90">
        <f t="shared" si="134"/>
        <v>678.59840198020447</v>
      </c>
      <c r="AA130" s="90">
        <f t="shared" si="134"/>
        <v>690.99515630636483</v>
      </c>
    </row>
    <row r="131" spans="1:27" s="66" customFormat="1" ht="15" customHeight="1" outlineLevel="1">
      <c r="B131" s="222" t="s">
        <v>64</v>
      </c>
      <c r="C131" s="133"/>
      <c r="D131" s="133"/>
      <c r="E131" s="133"/>
      <c r="F131" s="228"/>
      <c r="G131" s="228"/>
      <c r="H131" s="90">
        <f t="shared" ref="H131" si="135">(H125/H$117)*H119</f>
        <v>203.45701170410956</v>
      </c>
      <c r="I131" s="90">
        <f t="shared" ref="I131:AA131" si="136">(I125/I$117)*I119</f>
        <v>251.9960416392328</v>
      </c>
      <c r="J131" s="90">
        <f t="shared" si="136"/>
        <v>302.39524996707945</v>
      </c>
      <c r="K131" s="90">
        <f t="shared" si="136"/>
        <v>524.12519985139636</v>
      </c>
      <c r="L131" s="90">
        <f t="shared" si="136"/>
        <v>581.52595854413653</v>
      </c>
      <c r="M131" s="90">
        <f t="shared" si="136"/>
        <v>640.97152126657124</v>
      </c>
      <c r="N131" s="90">
        <f t="shared" si="136"/>
        <v>653.50693100675028</v>
      </c>
      <c r="O131" s="90">
        <f t="shared" si="136"/>
        <v>665.99823547054439</v>
      </c>
      <c r="P131" s="90">
        <f t="shared" si="136"/>
        <v>678.72894700880022</v>
      </c>
      <c r="Q131" s="90">
        <f t="shared" si="136"/>
        <v>691.70366622074039</v>
      </c>
      <c r="R131" s="90">
        <f t="shared" si="136"/>
        <v>704.62175374013907</v>
      </c>
      <c r="S131" s="90">
        <f t="shared" si="136"/>
        <v>717.47211206333998</v>
      </c>
      <c r="T131" s="90">
        <f t="shared" si="136"/>
        <v>730.5596043249792</v>
      </c>
      <c r="U131" s="90">
        <f t="shared" si="136"/>
        <v>743.88865523217726</v>
      </c>
      <c r="V131" s="90">
        <f t="shared" si="136"/>
        <v>757.4637728986504</v>
      </c>
      <c r="W131" s="90">
        <f t="shared" si="136"/>
        <v>771.28955043144254</v>
      </c>
      <c r="X131" s="90">
        <f t="shared" si="136"/>
        <v>785.37066754808734</v>
      </c>
      <c r="Y131" s="90">
        <f t="shared" si="136"/>
        <v>799.71189222479347</v>
      </c>
      <c r="Z131" s="90">
        <f t="shared" si="136"/>
        <v>814.31808237624534</v>
      </c>
      <c r="AA131" s="90">
        <f t="shared" si="136"/>
        <v>829.19418756763775</v>
      </c>
    </row>
    <row r="132" spans="1:27" s="66" customFormat="1" ht="15" customHeight="1" outlineLevel="1">
      <c r="C132" s="247"/>
      <c r="D132" s="133"/>
      <c r="E132" s="133"/>
      <c r="F132" s="133"/>
      <c r="G132" s="133"/>
      <c r="H132" s="133"/>
      <c r="I132" s="263"/>
      <c r="J132" s="263"/>
      <c r="K132" s="263"/>
      <c r="L132" s="263"/>
      <c r="M132" s="263"/>
      <c r="N132" s="263"/>
      <c r="O132" s="223"/>
    </row>
    <row r="133" spans="1:27" s="66" customFormat="1" ht="15" customHeight="1" outlineLevel="1">
      <c r="C133" s="247"/>
      <c r="D133" s="133"/>
      <c r="E133" s="133"/>
      <c r="F133" s="133"/>
      <c r="G133" s="133"/>
      <c r="H133" s="133"/>
      <c r="I133" s="263"/>
      <c r="J133" s="263"/>
      <c r="K133" s="263"/>
      <c r="L133" s="263"/>
      <c r="M133" s="263"/>
      <c r="N133" s="263"/>
      <c r="O133" s="223"/>
    </row>
    <row r="134" spans="1:27" s="66" customFormat="1" ht="15" customHeight="1" outlineLevel="1">
      <c r="B134" s="78" t="s">
        <v>87</v>
      </c>
      <c r="C134" s="247"/>
      <c r="D134" s="133"/>
      <c r="E134" s="133"/>
      <c r="F134" s="133"/>
      <c r="G134" s="133"/>
      <c r="H134" s="133"/>
      <c r="I134" s="263"/>
      <c r="J134" s="263"/>
      <c r="K134" s="263"/>
      <c r="L134" s="263"/>
      <c r="M134" s="263"/>
      <c r="N134" s="263"/>
      <c r="O134" s="223"/>
    </row>
    <row r="135" spans="1:27" s="66" customFormat="1" ht="15" customHeight="1" outlineLevel="1">
      <c r="B135" s="222" t="s">
        <v>86</v>
      </c>
      <c r="C135" s="133"/>
      <c r="D135" s="133"/>
      <c r="E135" s="133"/>
      <c r="F135" s="133"/>
      <c r="G135" s="133"/>
      <c r="H135" s="90">
        <f t="shared" ref="H135" si="137">SUM(H129:H130)</f>
        <v>370.90954718904106</v>
      </c>
      <c r="I135" s="90">
        <f t="shared" ref="I135:AA135" si="138">SUM(I129:I130)</f>
        <v>459.39796773271229</v>
      </c>
      <c r="J135" s="90">
        <f t="shared" si="138"/>
        <v>551.27756127925477</v>
      </c>
      <c r="K135" s="90">
        <f t="shared" si="138"/>
        <v>955.21637634857348</v>
      </c>
      <c r="L135" s="90">
        <f t="shared" si="138"/>
        <v>1059.5151427810727</v>
      </c>
      <c r="M135" s="90">
        <f t="shared" si="138"/>
        <v>1167.4764162232423</v>
      </c>
      <c r="N135" s="90">
        <f t="shared" si="138"/>
        <v>1189.955927161579</v>
      </c>
      <c r="O135" s="90">
        <f t="shared" si="138"/>
        <v>1211.981950271881</v>
      </c>
      <c r="P135" s="90">
        <f t="shared" si="138"/>
        <v>1234.4165781265965</v>
      </c>
      <c r="Q135" s="90">
        <f t="shared" si="138"/>
        <v>1257.2674083376935</v>
      </c>
      <c r="R135" s="90">
        <f t="shared" si="138"/>
        <v>1279.6068919408062</v>
      </c>
      <c r="S135" s="90">
        <f t="shared" si="138"/>
        <v>1301.3942774313246</v>
      </c>
      <c r="T135" s="90">
        <f t="shared" si="138"/>
        <v>1323.5565345940806</v>
      </c>
      <c r="U135" s="90">
        <f t="shared" si="138"/>
        <v>1346.1001868459177</v>
      </c>
      <c r="V135" s="90">
        <f t="shared" si="138"/>
        <v>1369.0318724877511</v>
      </c>
      <c r="W135" s="90">
        <f t="shared" si="138"/>
        <v>1392.3583467528999</v>
      </c>
      <c r="X135" s="90">
        <f t="shared" si="138"/>
        <v>1416.0864838923976</v>
      </c>
      <c r="Y135" s="90">
        <f t="shared" si="138"/>
        <v>1440.2232792979567</v>
      </c>
      <c r="Z135" s="90">
        <f t="shared" si="138"/>
        <v>1464.77585166327</v>
      </c>
      <c r="AA135" s="90">
        <f t="shared" si="138"/>
        <v>1489.7514451843595</v>
      </c>
    </row>
    <row r="136" spans="1:27" s="66" customFormat="1" ht="15" customHeight="1" outlineLevel="1">
      <c r="B136" s="222" t="s">
        <v>85</v>
      </c>
      <c r="C136" s="133"/>
      <c r="D136" s="133"/>
      <c r="E136" s="133"/>
      <c r="F136" s="133"/>
      <c r="G136" s="133"/>
      <c r="H136" s="226">
        <f t="shared" ref="H136" si="139">SUM(H131)</f>
        <v>203.45701170410956</v>
      </c>
      <c r="I136" s="226">
        <f t="shared" ref="I136:AA136" si="140">SUM(I131)</f>
        <v>251.9960416392328</v>
      </c>
      <c r="J136" s="226">
        <f t="shared" si="140"/>
        <v>302.39524996707945</v>
      </c>
      <c r="K136" s="226">
        <f t="shared" si="140"/>
        <v>524.12519985139636</v>
      </c>
      <c r="L136" s="226">
        <f t="shared" si="140"/>
        <v>581.52595854413653</v>
      </c>
      <c r="M136" s="226">
        <f t="shared" si="140"/>
        <v>640.97152126657124</v>
      </c>
      <c r="N136" s="226">
        <f t="shared" si="140"/>
        <v>653.50693100675028</v>
      </c>
      <c r="O136" s="226">
        <f t="shared" si="140"/>
        <v>665.99823547054439</v>
      </c>
      <c r="P136" s="226">
        <f t="shared" si="140"/>
        <v>678.72894700880022</v>
      </c>
      <c r="Q136" s="226">
        <f t="shared" si="140"/>
        <v>691.70366622074039</v>
      </c>
      <c r="R136" s="226">
        <f t="shared" si="140"/>
        <v>704.62175374013907</v>
      </c>
      <c r="S136" s="226">
        <f t="shared" si="140"/>
        <v>717.47211206333998</v>
      </c>
      <c r="T136" s="226">
        <f t="shared" si="140"/>
        <v>730.5596043249792</v>
      </c>
      <c r="U136" s="226">
        <f t="shared" si="140"/>
        <v>743.88865523217726</v>
      </c>
      <c r="V136" s="226">
        <f t="shared" si="140"/>
        <v>757.4637728986504</v>
      </c>
      <c r="W136" s="226">
        <f t="shared" si="140"/>
        <v>771.28955043144254</v>
      </c>
      <c r="X136" s="226">
        <f t="shared" si="140"/>
        <v>785.37066754808734</v>
      </c>
      <c r="Y136" s="226">
        <f t="shared" si="140"/>
        <v>799.71189222479347</v>
      </c>
      <c r="Z136" s="226">
        <f t="shared" si="140"/>
        <v>814.31808237624534</v>
      </c>
      <c r="AA136" s="226">
        <f t="shared" si="140"/>
        <v>829.19418756763775</v>
      </c>
    </row>
    <row r="137" spans="1:27" s="66" customFormat="1" ht="15" customHeight="1" outlineLevel="1">
      <c r="B137" s="222" t="s">
        <v>84</v>
      </c>
      <c r="C137" s="133"/>
      <c r="D137" s="133"/>
      <c r="E137" s="133"/>
      <c r="F137" s="133"/>
      <c r="G137" s="133">
        <v>150</v>
      </c>
      <c r="H137" s="90">
        <f>H135-H136</f>
        <v>167.4525354849315</v>
      </c>
      <c r="I137" s="90">
        <f>I135-I136</f>
        <v>207.40192609347949</v>
      </c>
      <c r="J137" s="90">
        <f t="shared" ref="J137:AA137" si="141">J135-J136</f>
        <v>248.88231131217532</v>
      </c>
      <c r="K137" s="90">
        <f t="shared" si="141"/>
        <v>431.09117649717712</v>
      </c>
      <c r="L137" s="90">
        <f t="shared" si="141"/>
        <v>477.98918423693613</v>
      </c>
      <c r="M137" s="90">
        <f t="shared" si="141"/>
        <v>526.50489495667102</v>
      </c>
      <c r="N137" s="90">
        <f t="shared" si="141"/>
        <v>536.44899615482871</v>
      </c>
      <c r="O137" s="90">
        <f t="shared" si="141"/>
        <v>545.98371480133665</v>
      </c>
      <c r="P137" s="90">
        <f t="shared" si="141"/>
        <v>555.68763111779629</v>
      </c>
      <c r="Q137" s="90">
        <f t="shared" si="141"/>
        <v>565.56374211695311</v>
      </c>
      <c r="R137" s="90">
        <f t="shared" si="141"/>
        <v>574.98513820066717</v>
      </c>
      <c r="S137" s="90">
        <f t="shared" si="141"/>
        <v>583.92216536798458</v>
      </c>
      <c r="T137" s="90">
        <f t="shared" si="141"/>
        <v>592.99693026910143</v>
      </c>
      <c r="U137" s="90">
        <f t="shared" si="141"/>
        <v>602.21153161374048</v>
      </c>
      <c r="V137" s="90">
        <f t="shared" si="141"/>
        <v>611.56809958910071</v>
      </c>
      <c r="W137" s="90">
        <f t="shared" si="141"/>
        <v>621.0687963214574</v>
      </c>
      <c r="X137" s="90">
        <f t="shared" si="141"/>
        <v>630.71581634431027</v>
      </c>
      <c r="Y137" s="90">
        <f t="shared" si="141"/>
        <v>640.51138707316318</v>
      </c>
      <c r="Z137" s="90">
        <f t="shared" si="141"/>
        <v>650.45776928702469</v>
      </c>
      <c r="AA137" s="90">
        <f t="shared" si="141"/>
        <v>660.5572576167217</v>
      </c>
    </row>
    <row r="138" spans="1:27" s="66" customFormat="1" ht="15" customHeight="1" outlineLevel="1">
      <c r="B138" s="221"/>
      <c r="C138" s="247"/>
      <c r="D138" s="133"/>
      <c r="E138" s="133"/>
      <c r="F138" s="133"/>
      <c r="G138" s="133"/>
      <c r="H138" s="133"/>
      <c r="I138" s="263"/>
      <c r="J138" s="263"/>
      <c r="K138" s="263"/>
      <c r="L138" s="263"/>
      <c r="M138" s="263"/>
      <c r="N138" s="263"/>
      <c r="O138" s="223"/>
    </row>
    <row r="139" spans="1:27" s="66" customFormat="1" ht="15" customHeight="1" outlineLevel="1">
      <c r="B139" s="221"/>
      <c r="C139" s="247"/>
      <c r="D139" s="133"/>
      <c r="E139" s="133"/>
      <c r="F139" s="133"/>
      <c r="G139" s="133"/>
      <c r="H139" s="133"/>
      <c r="I139" s="263"/>
      <c r="J139" s="263"/>
      <c r="K139" s="263"/>
      <c r="L139" s="263"/>
      <c r="M139" s="263"/>
      <c r="N139" s="263"/>
      <c r="O139" s="223"/>
    </row>
    <row r="140" spans="1:27" s="66" customFormat="1" ht="15" customHeight="1" outlineLevel="1" thickBot="1">
      <c r="B140" s="265" t="s">
        <v>83</v>
      </c>
      <c r="C140" s="247"/>
      <c r="D140" s="247"/>
      <c r="E140" s="247"/>
      <c r="F140" s="133"/>
      <c r="G140" s="133"/>
      <c r="H140" s="264">
        <f>G137-H137</f>
        <v>-17.452535484931502</v>
      </c>
      <c r="I140" s="264">
        <f>H137-I137</f>
        <v>-39.949390608547986</v>
      </c>
      <c r="J140" s="264">
        <f>I137-J137</f>
        <v>-41.48038521869583</v>
      </c>
      <c r="K140" s="264">
        <f t="shared" ref="K140" si="142">J137-K137</f>
        <v>-182.2088651850018</v>
      </c>
      <c r="L140" s="264">
        <f>K137-L137</f>
        <v>-46.898007739759009</v>
      </c>
      <c r="M140" s="264">
        <f>L137-M137</f>
        <v>-48.515710719734898</v>
      </c>
      <c r="N140" s="264">
        <f t="shared" ref="N140" si="143">M137-N137</f>
        <v>-9.9441011981576821</v>
      </c>
      <c r="O140" s="264">
        <f t="shared" ref="O140" si="144">N137-O137</f>
        <v>-9.5347186465079403</v>
      </c>
      <c r="P140" s="264">
        <f t="shared" ref="P140" si="145">O137-P137</f>
        <v>-9.7039163164596403</v>
      </c>
      <c r="Q140" s="264">
        <f>P137-Q137</f>
        <v>-9.8761109991568219</v>
      </c>
      <c r="R140" s="264">
        <f t="shared" ref="R140" si="146">Q137-R137</f>
        <v>-9.4213960837140576</v>
      </c>
      <c r="S140" s="264">
        <f t="shared" ref="S140" si="147">R137-S137</f>
        <v>-8.9370271673174102</v>
      </c>
      <c r="T140" s="264">
        <f t="shared" ref="T140" si="148">S137-T137</f>
        <v>-9.0747649011168505</v>
      </c>
      <c r="U140" s="264">
        <f t="shared" ref="U140" si="149">T137-U137</f>
        <v>-9.2146013446390498</v>
      </c>
      <c r="V140" s="264">
        <f t="shared" ref="V140" si="150">U137-V137</f>
        <v>-9.3565679753602353</v>
      </c>
      <c r="W140" s="264">
        <f t="shared" ref="W140" si="151">V137-W137</f>
        <v>-9.5006967323566869</v>
      </c>
      <c r="X140" s="264">
        <f t="shared" ref="X140" si="152">W137-X137</f>
        <v>-9.6470200228528711</v>
      </c>
      <c r="Y140" s="264">
        <f t="shared" ref="Y140" si="153">X137-Y137</f>
        <v>-9.7955707288529084</v>
      </c>
      <c r="Z140" s="264">
        <f t="shared" ref="Z140" si="154">Y137-Z137</f>
        <v>-9.9463822138615114</v>
      </c>
      <c r="AA140" s="264">
        <f t="shared" ref="AA140" si="155">Z137-AA137</f>
        <v>-10.09948832969701</v>
      </c>
    </row>
    <row r="141" spans="1:27" s="66" customFormat="1" ht="15" customHeight="1" outlineLevel="1">
      <c r="C141" s="247"/>
      <c r="D141" s="247"/>
      <c r="E141" s="247"/>
      <c r="F141" s="247"/>
      <c r="G141" s="241"/>
      <c r="H141" s="241"/>
      <c r="I141" s="241"/>
      <c r="J141" s="241"/>
      <c r="K141" s="241"/>
      <c r="L141" s="241"/>
      <c r="M141" s="241"/>
      <c r="N141" s="241"/>
      <c r="O141" s="223"/>
    </row>
    <row r="142" spans="1:27" s="66" customFormat="1" ht="15" customHeight="1" outlineLevel="1"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</row>
    <row r="143" spans="1:27" s="66" customFormat="1" ht="15" customHeight="1">
      <c r="B143" s="68"/>
      <c r="C143" s="72"/>
      <c r="D143" s="261"/>
      <c r="E143" s="133"/>
      <c r="F143" s="148"/>
      <c r="G143" s="148"/>
      <c r="H143" s="148"/>
      <c r="I143" s="148"/>
      <c r="J143" s="148"/>
      <c r="K143" s="148"/>
      <c r="L143" s="148"/>
      <c r="M143" s="148"/>
      <c r="N143" s="148"/>
      <c r="O143" s="62"/>
    </row>
    <row r="144" spans="1:27" s="95" customFormat="1" ht="15" customHeight="1">
      <c r="A144" s="95" t="s">
        <v>0</v>
      </c>
      <c r="B144" s="108" t="s">
        <v>197</v>
      </c>
      <c r="C144" s="107"/>
      <c r="D144" s="106"/>
      <c r="E144" s="106"/>
      <c r="F144" s="105"/>
      <c r="G144" s="105"/>
      <c r="H144" s="105"/>
      <c r="I144" s="105"/>
      <c r="J144" s="105"/>
      <c r="K144" s="105"/>
      <c r="L144" s="105"/>
      <c r="M144" s="10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</row>
    <row r="145" spans="1:27" s="95" customFormat="1" ht="15" customHeight="1" outlineLevel="1">
      <c r="B145" s="192"/>
      <c r="C145" s="104"/>
      <c r="D145" s="103"/>
      <c r="E145" s="103"/>
      <c r="F145" s="102"/>
      <c r="G145" s="102"/>
      <c r="H145" s="102"/>
      <c r="I145" s="102"/>
      <c r="J145" s="102"/>
      <c r="K145" s="102"/>
      <c r="L145" s="102"/>
      <c r="M145" s="102"/>
    </row>
    <row r="146" spans="1:27" s="95" customFormat="1" ht="15" customHeight="1" outlineLevel="1">
      <c r="B146" s="86" t="s">
        <v>134</v>
      </c>
      <c r="C146" s="302"/>
      <c r="D146" s="302"/>
      <c r="E146" s="302"/>
      <c r="F146" s="313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313"/>
      <c r="V146" s="313"/>
      <c r="W146" s="313"/>
      <c r="X146" s="313"/>
    </row>
    <row r="147" spans="1:27" ht="15" customHeight="1" outlineLevel="1" thickBot="1">
      <c r="A147" s="66"/>
      <c r="B147" s="86" t="str" cm="1">
        <f t="array" ref="B147">CONCATENATE("Model Drivers: ",INDEX(Inputs!$B$96:$B$98,Inputs!$D$86)," &amp; ",INDEX(Inputs!$B$143:$B$144,Inputs!$D$139)," Financing")</f>
        <v>Model Drivers: Base Case &amp; Two Phased  Financing</v>
      </c>
      <c r="C147" s="104"/>
      <c r="D147" s="96"/>
      <c r="E147" s="96"/>
      <c r="F147" s="245">
        <v>2025</v>
      </c>
      <c r="G147" s="245">
        <v>2026</v>
      </c>
      <c r="H147" s="316">
        <f>Inputs!$F$8</f>
        <v>2027</v>
      </c>
      <c r="I147" s="316">
        <f>H147+1</f>
        <v>2028</v>
      </c>
      <c r="J147" s="316">
        <f t="shared" ref="J147" si="156">I147+1</f>
        <v>2029</v>
      </c>
      <c r="K147" s="317">
        <f t="shared" ref="K147" si="157">J147+1</f>
        <v>2030</v>
      </c>
      <c r="L147" s="317">
        <f t="shared" ref="L147" si="158">K147+1</f>
        <v>2031</v>
      </c>
      <c r="M147" s="317">
        <f t="shared" ref="M147" si="159">L147+1</f>
        <v>2032</v>
      </c>
      <c r="N147" s="317">
        <f t="shared" ref="N147" si="160">M147+1</f>
        <v>2033</v>
      </c>
      <c r="O147" s="317">
        <f t="shared" ref="O147" si="161">N147+1</f>
        <v>2034</v>
      </c>
      <c r="P147" s="317">
        <f t="shared" ref="P147" si="162">O147+1</f>
        <v>2035</v>
      </c>
      <c r="Q147" s="317">
        <f t="shared" ref="Q147" si="163">P147+1</f>
        <v>2036</v>
      </c>
      <c r="R147" s="317">
        <f t="shared" ref="R147" si="164">Q147+1</f>
        <v>2037</v>
      </c>
      <c r="S147" s="317">
        <f t="shared" ref="S147" si="165">R147+1</f>
        <v>2038</v>
      </c>
      <c r="T147" s="317">
        <f t="shared" ref="T147" si="166">S147+1</f>
        <v>2039</v>
      </c>
      <c r="U147" s="317">
        <f t="shared" ref="U147" si="167">T147+1</f>
        <v>2040</v>
      </c>
      <c r="V147" s="317">
        <f>U147+1</f>
        <v>2041</v>
      </c>
      <c r="W147" s="317">
        <f t="shared" ref="W147:X147" si="168">V147+1</f>
        <v>2042</v>
      </c>
      <c r="X147" s="317">
        <f t="shared" si="168"/>
        <v>2043</v>
      </c>
      <c r="Y147" s="317">
        <f t="shared" ref="Y147:Z147" si="169">X147+1</f>
        <v>2044</v>
      </c>
      <c r="Z147" s="317">
        <f t="shared" si="169"/>
        <v>2045</v>
      </c>
      <c r="AA147" s="317">
        <f t="shared" ref="AA147" si="170">Z147+1</f>
        <v>2046</v>
      </c>
    </row>
    <row r="148" spans="1:27" ht="15" customHeight="1" outlineLevel="1">
      <c r="A148" s="66"/>
      <c r="B148" s="86"/>
      <c r="C148" s="104"/>
      <c r="D148" s="96"/>
      <c r="E148" s="96"/>
      <c r="F148" s="96"/>
      <c r="G148" s="96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</row>
    <row r="149" spans="1:27" s="95" customFormat="1" ht="15" customHeight="1" outlineLevel="1">
      <c r="B149" s="86"/>
      <c r="C149" s="104"/>
      <c r="D149" s="96"/>
      <c r="E149" s="96"/>
      <c r="F149" s="96"/>
      <c r="G149" s="96"/>
      <c r="H149" s="260"/>
      <c r="I149" s="260"/>
      <c r="J149" s="260"/>
      <c r="K149" s="260"/>
      <c r="L149" s="260"/>
      <c r="M149" s="260"/>
    </row>
    <row r="150" spans="1:27" s="95" customFormat="1" ht="15" customHeight="1" outlineLevel="1">
      <c r="B150" s="259" t="s">
        <v>186</v>
      </c>
      <c r="C150" s="104"/>
      <c r="D150" s="96"/>
      <c r="E150" s="96"/>
      <c r="F150" s="234">
        <f>Inputs!F$141</f>
        <v>1500</v>
      </c>
      <c r="G150" s="372">
        <f>Inputs!G$141</f>
        <v>1500</v>
      </c>
      <c r="H150" s="372">
        <f>Inputs!H$141</f>
        <v>1000</v>
      </c>
      <c r="I150" s="372">
        <f>Inputs!I$141</f>
        <v>1000</v>
      </c>
      <c r="J150" s="372">
        <f>Inputs!J$141</f>
        <v>500</v>
      </c>
      <c r="K150" s="372">
        <f>Inputs!K$141</f>
        <v>0</v>
      </c>
      <c r="L150" s="372">
        <f>Inputs!L$141</f>
        <v>0</v>
      </c>
      <c r="M150" s="372">
        <f>Inputs!M$141</f>
        <v>0</v>
      </c>
      <c r="N150" s="372">
        <f>Inputs!N$141</f>
        <v>0</v>
      </c>
      <c r="O150" s="372">
        <f>Inputs!O$141</f>
        <v>0</v>
      </c>
      <c r="P150" s="372">
        <f>Inputs!P$141</f>
        <v>0</v>
      </c>
      <c r="Q150" s="372">
        <f>Inputs!Q$141</f>
        <v>0</v>
      </c>
      <c r="R150" s="372">
        <f>Inputs!R$141</f>
        <v>0</v>
      </c>
      <c r="S150" s="372">
        <f>Inputs!S$141</f>
        <v>0</v>
      </c>
      <c r="T150" s="372">
        <f>Inputs!T$141</f>
        <v>0</v>
      </c>
      <c r="U150" s="372">
        <f>Inputs!U$141</f>
        <v>0</v>
      </c>
      <c r="V150" s="372">
        <f>Inputs!V$141</f>
        <v>0</v>
      </c>
      <c r="W150" s="372">
        <f>Inputs!W$141</f>
        <v>0</v>
      </c>
      <c r="X150" s="372">
        <f>Inputs!X$141</f>
        <v>0</v>
      </c>
      <c r="Y150" s="372">
        <f>Inputs!Y$141</f>
        <v>0</v>
      </c>
      <c r="Z150" s="372">
        <f>Inputs!Z$141</f>
        <v>0</v>
      </c>
      <c r="AA150" s="372">
        <f>Inputs!AA$141</f>
        <v>0</v>
      </c>
    </row>
    <row r="151" spans="1:27" s="95" customFormat="1" ht="15" customHeight="1" outlineLevel="1">
      <c r="B151" s="259" t="s">
        <v>187</v>
      </c>
      <c r="C151" s="259"/>
      <c r="D151" s="259"/>
      <c r="E151" s="96"/>
      <c r="F151" s="373">
        <v>0</v>
      </c>
      <c r="G151" s="228">
        <v>0</v>
      </c>
      <c r="H151" s="228">
        <f t="shared" ref="H151:AA151" si="171">H90*1%</f>
        <v>18.374285915999998</v>
      </c>
      <c r="I151" s="228">
        <f t="shared" si="171"/>
        <v>22.757865555960002</v>
      </c>
      <c r="J151" s="228">
        <f t="shared" si="171"/>
        <v>27.309438667151998</v>
      </c>
      <c r="K151" s="228">
        <f t="shared" si="171"/>
        <v>47.308140603107404</v>
      </c>
      <c r="L151" s="228">
        <f t="shared" si="171"/>
        <v>52.460553681145832</v>
      </c>
      <c r="M151" s="228">
        <f t="shared" si="171"/>
        <v>57.791680217391999</v>
      </c>
      <c r="N151" s="228">
        <f t="shared" si="171"/>
        <v>58.889722141522441</v>
      </c>
      <c r="O151" s="228">
        <f t="shared" si="171"/>
        <v>59.94973714006985</v>
      </c>
      <c r="P151" s="228">
        <f t="shared" si="171"/>
        <v>61.0288324085911</v>
      </c>
      <c r="Q151" s="228">
        <f t="shared" si="171"/>
        <v>62.127351391945744</v>
      </c>
      <c r="R151" s="228">
        <f t="shared" si="171"/>
        <v>63.18351636560881</v>
      </c>
      <c r="S151" s="228">
        <f t="shared" si="171"/>
        <v>64.19445262745856</v>
      </c>
      <c r="T151" s="228">
        <f t="shared" si="171"/>
        <v>65.221563869497899</v>
      </c>
      <c r="U151" s="228">
        <f t="shared" si="171"/>
        <v>66.265108891409852</v>
      </c>
      <c r="V151" s="228">
        <f t="shared" si="171"/>
        <v>67.325350633672429</v>
      </c>
      <c r="W151" s="228">
        <f t="shared" si="171"/>
        <v>68.402556243811176</v>
      </c>
      <c r="X151" s="228">
        <f t="shared" si="171"/>
        <v>69.49699714371215</v>
      </c>
      <c r="Y151" s="228">
        <f t="shared" si="171"/>
        <v>70.60894909801155</v>
      </c>
      <c r="Z151" s="228">
        <f t="shared" si="171"/>
        <v>71.738692283579738</v>
      </c>
      <c r="AA151" s="228">
        <f t="shared" si="171"/>
        <v>72.886511360117026</v>
      </c>
    </row>
    <row r="152" spans="1:27" s="95" customFormat="1" ht="15" customHeight="1" outlineLevel="1">
      <c r="B152" s="259" t="s">
        <v>188</v>
      </c>
      <c r="C152" s="259"/>
      <c r="D152" s="259"/>
      <c r="E152" s="96"/>
      <c r="F152" s="231">
        <f>F150+F151</f>
        <v>1500</v>
      </c>
      <c r="G152" s="227">
        <f t="shared" ref="G152:AA152" si="172">G150+G151</f>
        <v>1500</v>
      </c>
      <c r="H152" s="227">
        <f t="shared" si="172"/>
        <v>1018.374285916</v>
      </c>
      <c r="I152" s="227">
        <f t="shared" si="172"/>
        <v>1022.7578655559601</v>
      </c>
      <c r="J152" s="227">
        <f t="shared" si="172"/>
        <v>527.30943866715199</v>
      </c>
      <c r="K152" s="227">
        <f t="shared" si="172"/>
        <v>47.308140603107404</v>
      </c>
      <c r="L152" s="227">
        <f t="shared" si="172"/>
        <v>52.460553681145832</v>
      </c>
      <c r="M152" s="227">
        <f t="shared" si="172"/>
        <v>57.791680217391999</v>
      </c>
      <c r="N152" s="227">
        <f t="shared" si="172"/>
        <v>58.889722141522441</v>
      </c>
      <c r="O152" s="227">
        <f t="shared" si="172"/>
        <v>59.94973714006985</v>
      </c>
      <c r="P152" s="227">
        <f t="shared" si="172"/>
        <v>61.0288324085911</v>
      </c>
      <c r="Q152" s="227">
        <f t="shared" si="172"/>
        <v>62.127351391945744</v>
      </c>
      <c r="R152" s="227">
        <f t="shared" si="172"/>
        <v>63.18351636560881</v>
      </c>
      <c r="S152" s="227">
        <f t="shared" si="172"/>
        <v>64.19445262745856</v>
      </c>
      <c r="T152" s="227">
        <f t="shared" si="172"/>
        <v>65.221563869497899</v>
      </c>
      <c r="U152" s="227">
        <f t="shared" si="172"/>
        <v>66.265108891409852</v>
      </c>
      <c r="V152" s="227">
        <f t="shared" si="172"/>
        <v>67.325350633672429</v>
      </c>
      <c r="W152" s="227">
        <f t="shared" si="172"/>
        <v>68.402556243811176</v>
      </c>
      <c r="X152" s="227">
        <f t="shared" si="172"/>
        <v>69.49699714371215</v>
      </c>
      <c r="Y152" s="227">
        <f t="shared" si="172"/>
        <v>70.60894909801155</v>
      </c>
      <c r="Z152" s="227">
        <f t="shared" si="172"/>
        <v>71.738692283579738</v>
      </c>
      <c r="AA152" s="227">
        <f t="shared" si="172"/>
        <v>72.886511360117026</v>
      </c>
    </row>
    <row r="153" spans="1:27" s="95" customFormat="1" ht="15" customHeight="1" outlineLevel="1">
      <c r="B153" s="259"/>
      <c r="C153" s="259"/>
      <c r="D153" s="259"/>
      <c r="E153" s="96"/>
      <c r="F153" s="96"/>
      <c r="G153" s="96"/>
      <c r="H153" s="96"/>
      <c r="I153" s="100"/>
      <c r="J153" s="100"/>
      <c r="K153" s="100"/>
      <c r="L153" s="100"/>
      <c r="M153" s="100"/>
    </row>
    <row r="154" spans="1:27" s="95" customFormat="1" ht="15" customHeight="1" outlineLevel="1">
      <c r="B154" s="244" t="s">
        <v>95</v>
      </c>
      <c r="D154" s="254" t="s">
        <v>82</v>
      </c>
      <c r="E154" s="96"/>
      <c r="F154" s="96"/>
      <c r="G154" s="96"/>
      <c r="H154" s="96"/>
      <c r="I154" s="252"/>
      <c r="J154" s="251"/>
      <c r="K154" s="251"/>
      <c r="L154" s="251"/>
      <c r="M154" s="250"/>
    </row>
    <row r="155" spans="1:27" s="95" customFormat="1" ht="15" customHeight="1" outlineLevel="1">
      <c r="B155" s="164" t="s">
        <v>181</v>
      </c>
      <c r="D155" s="369">
        <v>20</v>
      </c>
      <c r="E155" s="96"/>
      <c r="F155" s="257"/>
      <c r="G155" s="96"/>
      <c r="H155" s="96"/>
      <c r="I155" s="258"/>
      <c r="J155" s="258"/>
      <c r="K155" s="258"/>
      <c r="L155" s="258"/>
      <c r="M155" s="258"/>
    </row>
    <row r="156" spans="1:27" s="95" customFormat="1" ht="15" customHeight="1" outlineLevel="1">
      <c r="B156" s="164"/>
      <c r="C156" s="256"/>
      <c r="D156" s="255"/>
      <c r="E156" s="96"/>
      <c r="F156" s="96"/>
      <c r="G156" s="96"/>
      <c r="H156" s="96"/>
      <c r="I156" s="253"/>
      <c r="J156" s="253"/>
      <c r="K156" s="253"/>
      <c r="L156" s="253"/>
      <c r="M156" s="253"/>
    </row>
    <row r="157" spans="1:27" s="95" customFormat="1" ht="15" customHeight="1" outlineLevel="1">
      <c r="B157" s="244" t="s">
        <v>180</v>
      </c>
      <c r="C157" s="104"/>
      <c r="D157" s="96"/>
      <c r="E157" s="96"/>
      <c r="F157" s="96"/>
      <c r="G157" s="96"/>
      <c r="H157" s="96"/>
      <c r="I157" s="100"/>
      <c r="J157" s="100"/>
      <c r="K157" s="100"/>
      <c r="L157" s="100"/>
      <c r="M157" s="100"/>
    </row>
    <row r="158" spans="1:27" s="95" customFormat="1" ht="15" customHeight="1" outlineLevel="1">
      <c r="B158" s="222" t="s">
        <v>178</v>
      </c>
      <c r="C158" s="104"/>
      <c r="D158" s="96"/>
      <c r="E158" s="96"/>
      <c r="F158" s="148"/>
      <c r="G158" s="148"/>
      <c r="H158" s="148">
        <f>($F$150+$G$150)/$D$155</f>
        <v>150</v>
      </c>
      <c r="I158" s="148">
        <f t="shared" ref="I158:W158" si="173">($F$150+$G$150)/$D$155</f>
        <v>150</v>
      </c>
      <c r="J158" s="148">
        <f t="shared" si="173"/>
        <v>150</v>
      </c>
      <c r="K158" s="148">
        <f t="shared" si="173"/>
        <v>150</v>
      </c>
      <c r="L158" s="148">
        <f t="shared" si="173"/>
        <v>150</v>
      </c>
      <c r="M158" s="148">
        <f t="shared" si="173"/>
        <v>150</v>
      </c>
      <c r="N158" s="148">
        <f t="shared" si="173"/>
        <v>150</v>
      </c>
      <c r="O158" s="148">
        <f t="shared" si="173"/>
        <v>150</v>
      </c>
      <c r="P158" s="148">
        <f t="shared" si="173"/>
        <v>150</v>
      </c>
      <c r="Q158" s="148">
        <f t="shared" si="173"/>
        <v>150</v>
      </c>
      <c r="R158" s="148">
        <f t="shared" si="173"/>
        <v>150</v>
      </c>
      <c r="S158" s="148">
        <f t="shared" si="173"/>
        <v>150</v>
      </c>
      <c r="T158" s="148">
        <f t="shared" si="173"/>
        <v>150</v>
      </c>
      <c r="U158" s="148">
        <f t="shared" si="173"/>
        <v>150</v>
      </c>
      <c r="V158" s="148">
        <f t="shared" si="173"/>
        <v>150</v>
      </c>
      <c r="W158" s="148">
        <f t="shared" si="173"/>
        <v>150</v>
      </c>
      <c r="X158" s="148">
        <f>($F$150+$G$150)/$D$155</f>
        <v>150</v>
      </c>
      <c r="Y158" s="148">
        <f>($F$150+$G$150)/$D$155</f>
        <v>150</v>
      </c>
      <c r="Z158" s="148">
        <f>($F$150+$G$150)/$D$155</f>
        <v>150</v>
      </c>
      <c r="AA158" s="148">
        <f>($F$150+$G$150)/$D$155</f>
        <v>150</v>
      </c>
    </row>
    <row r="159" spans="1:27" s="95" customFormat="1" ht="15" customHeight="1" outlineLevel="1">
      <c r="B159" s="222" t="s">
        <v>179</v>
      </c>
      <c r="C159" s="104"/>
      <c r="D159" s="96"/>
      <c r="E159" s="96"/>
      <c r="F159" s="96"/>
      <c r="G159" s="96"/>
      <c r="H159" s="90">
        <v>0</v>
      </c>
      <c r="I159" s="90">
        <v>0</v>
      </c>
      <c r="J159" s="90">
        <v>0</v>
      </c>
      <c r="K159" s="90">
        <f>($H$150+$I$150+$J$150)/$D$155</f>
        <v>125</v>
      </c>
      <c r="L159" s="90">
        <f t="shared" ref="L159:AA159" si="174">($H$150+$I$150+$J$150)/$D$155</f>
        <v>125</v>
      </c>
      <c r="M159" s="90">
        <f t="shared" si="174"/>
        <v>125</v>
      </c>
      <c r="N159" s="90">
        <f t="shared" si="174"/>
        <v>125</v>
      </c>
      <c r="O159" s="90">
        <f t="shared" si="174"/>
        <v>125</v>
      </c>
      <c r="P159" s="90">
        <f t="shared" si="174"/>
        <v>125</v>
      </c>
      <c r="Q159" s="90">
        <f t="shared" si="174"/>
        <v>125</v>
      </c>
      <c r="R159" s="90">
        <f t="shared" si="174"/>
        <v>125</v>
      </c>
      <c r="S159" s="90">
        <f t="shared" si="174"/>
        <v>125</v>
      </c>
      <c r="T159" s="90">
        <f t="shared" si="174"/>
        <v>125</v>
      </c>
      <c r="U159" s="90">
        <f>($H$150+$I$150+$J$150)/$D$155</f>
        <v>125</v>
      </c>
      <c r="V159" s="90">
        <f t="shared" si="174"/>
        <v>125</v>
      </c>
      <c r="W159" s="90">
        <f t="shared" si="174"/>
        <v>125</v>
      </c>
      <c r="X159" s="90">
        <f t="shared" si="174"/>
        <v>125</v>
      </c>
      <c r="Y159" s="90">
        <f t="shared" si="174"/>
        <v>125</v>
      </c>
      <c r="Z159" s="90">
        <f t="shared" si="174"/>
        <v>125</v>
      </c>
      <c r="AA159" s="90">
        <f t="shared" si="174"/>
        <v>125</v>
      </c>
    </row>
    <row r="160" spans="1:27" s="95" customFormat="1" ht="15" customHeight="1" outlineLevel="1" thickBot="1">
      <c r="B160" s="222" t="s">
        <v>80</v>
      </c>
      <c r="C160" s="104"/>
      <c r="D160" s="96"/>
      <c r="E160" s="96"/>
      <c r="F160" s="96"/>
      <c r="G160" s="96"/>
      <c r="H160" s="239">
        <f>SUM(H158:H159)</f>
        <v>150</v>
      </c>
      <c r="I160" s="239">
        <f t="shared" ref="I160:AA160" si="175">SUM(I158:I159)</f>
        <v>150</v>
      </c>
      <c r="J160" s="239">
        <f t="shared" si="175"/>
        <v>150</v>
      </c>
      <c r="K160" s="239">
        <f t="shared" si="175"/>
        <v>275</v>
      </c>
      <c r="L160" s="239">
        <f t="shared" si="175"/>
        <v>275</v>
      </c>
      <c r="M160" s="239">
        <f t="shared" si="175"/>
        <v>275</v>
      </c>
      <c r="N160" s="239">
        <f t="shared" si="175"/>
        <v>275</v>
      </c>
      <c r="O160" s="239">
        <f t="shared" si="175"/>
        <v>275</v>
      </c>
      <c r="P160" s="239">
        <f t="shared" si="175"/>
        <v>275</v>
      </c>
      <c r="Q160" s="239">
        <f t="shared" si="175"/>
        <v>275</v>
      </c>
      <c r="R160" s="239">
        <f t="shared" si="175"/>
        <v>275</v>
      </c>
      <c r="S160" s="239">
        <f t="shared" si="175"/>
        <v>275</v>
      </c>
      <c r="T160" s="239">
        <f t="shared" si="175"/>
        <v>275</v>
      </c>
      <c r="U160" s="239">
        <f t="shared" si="175"/>
        <v>275</v>
      </c>
      <c r="V160" s="239">
        <f t="shared" si="175"/>
        <v>275</v>
      </c>
      <c r="W160" s="239">
        <f t="shared" si="175"/>
        <v>275</v>
      </c>
      <c r="X160" s="239">
        <f t="shared" si="175"/>
        <v>275</v>
      </c>
      <c r="Y160" s="239">
        <f t="shared" si="175"/>
        <v>275</v>
      </c>
      <c r="Z160" s="239">
        <f t="shared" si="175"/>
        <v>275</v>
      </c>
      <c r="AA160" s="239">
        <f t="shared" si="175"/>
        <v>275</v>
      </c>
    </row>
    <row r="161" spans="1:27" s="95" customFormat="1" ht="15" customHeight="1" outlineLevel="1">
      <c r="B161" s="86"/>
      <c r="C161" s="104"/>
      <c r="D161" s="96"/>
      <c r="E161" s="96"/>
      <c r="F161" s="96"/>
      <c r="G161" s="96"/>
      <c r="H161" s="96"/>
      <c r="I161" s="100"/>
      <c r="J161" s="100"/>
      <c r="K161" s="100"/>
      <c r="L161" s="100"/>
      <c r="M161" s="100"/>
    </row>
    <row r="162" spans="1:27" s="95" customFormat="1" ht="15" customHeight="1" outlineLevel="1">
      <c r="B162" s="220"/>
      <c r="C162" s="140"/>
      <c r="D162" s="219"/>
      <c r="E162" s="219"/>
      <c r="F162" s="219"/>
      <c r="G162" s="219"/>
      <c r="H162" s="219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</row>
    <row r="163" spans="1:27" s="95" customFormat="1" ht="15" customHeight="1">
      <c r="B163" s="86"/>
      <c r="C163" s="104"/>
      <c r="D163" s="96"/>
      <c r="E163" s="96"/>
      <c r="F163" s="96"/>
      <c r="G163" s="96"/>
      <c r="H163" s="96"/>
      <c r="I163" s="100"/>
      <c r="J163" s="100"/>
      <c r="K163" s="100"/>
      <c r="L163" s="100"/>
      <c r="M163" s="100"/>
      <c r="N163" s="100"/>
      <c r="O163" s="223"/>
    </row>
    <row r="164" spans="1:27" s="95" customFormat="1" ht="15" customHeight="1">
      <c r="A164" s="95" t="s">
        <v>0</v>
      </c>
      <c r="B164" s="108" t="s">
        <v>77</v>
      </c>
      <c r="C164" s="107"/>
      <c r="D164" s="106"/>
      <c r="E164" s="106"/>
      <c r="F164" s="105"/>
      <c r="G164" s="105"/>
      <c r="H164" s="105"/>
      <c r="I164" s="105"/>
      <c r="J164" s="105"/>
      <c r="K164" s="105"/>
      <c r="L164" s="105"/>
      <c r="M164" s="10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  <c r="AA164" s="235"/>
    </row>
    <row r="165" spans="1:27" s="95" customFormat="1" ht="15" customHeight="1" outlineLevel="1">
      <c r="B165" s="192"/>
      <c r="C165" s="104"/>
      <c r="D165" s="103"/>
      <c r="E165" s="103"/>
      <c r="F165" s="102"/>
      <c r="G165" s="102"/>
      <c r="H165" s="102"/>
      <c r="I165" s="102"/>
      <c r="J165" s="102"/>
      <c r="K165" s="102"/>
      <c r="L165" s="102"/>
      <c r="M165" s="102"/>
      <c r="N165" s="102"/>
      <c r="O165" s="230"/>
    </row>
    <row r="166" spans="1:27" s="95" customFormat="1" ht="15" customHeight="1" outlineLevel="1">
      <c r="B166" s="86" t="s">
        <v>134</v>
      </c>
      <c r="C166" s="302"/>
      <c r="D166" s="302"/>
      <c r="E166" s="302"/>
      <c r="F166" s="313"/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  <c r="T166" s="313"/>
      <c r="U166" s="313"/>
      <c r="V166" s="313"/>
      <c r="W166" s="313"/>
      <c r="X166" s="313"/>
    </row>
    <row r="167" spans="1:27" ht="15" customHeight="1" outlineLevel="1" thickBot="1">
      <c r="A167" s="66"/>
      <c r="B167" s="86" t="str" cm="1">
        <f t="array" ref="B167">CONCATENATE("Model Drivers: ",INDEX(Inputs!$B$96:$B$98,Inputs!$D$86)," &amp; ",INDEX(Inputs!$B$143:$B$144,Inputs!$D$139)," Financing")</f>
        <v>Model Drivers: Base Case &amp; Two Phased  Financing</v>
      </c>
      <c r="C167" s="104"/>
      <c r="D167" s="96"/>
      <c r="E167" s="96"/>
      <c r="F167" s="245">
        <v>2025</v>
      </c>
      <c r="G167" s="245">
        <v>2026</v>
      </c>
      <c r="H167" s="316">
        <f>Inputs!$F$8</f>
        <v>2027</v>
      </c>
      <c r="I167" s="316">
        <f>H167+1</f>
        <v>2028</v>
      </c>
      <c r="J167" s="316">
        <f t="shared" ref="J167" si="176">I167+1</f>
        <v>2029</v>
      </c>
      <c r="K167" s="317">
        <f t="shared" ref="K167" si="177">J167+1</f>
        <v>2030</v>
      </c>
      <c r="L167" s="317">
        <f t="shared" ref="L167" si="178">K167+1</f>
        <v>2031</v>
      </c>
      <c r="M167" s="317">
        <f t="shared" ref="M167" si="179">L167+1</f>
        <v>2032</v>
      </c>
      <c r="N167" s="317">
        <f t="shared" ref="N167" si="180">M167+1</f>
        <v>2033</v>
      </c>
      <c r="O167" s="317">
        <f t="shared" ref="O167" si="181">N167+1</f>
        <v>2034</v>
      </c>
      <c r="P167" s="317">
        <f t="shared" ref="P167" si="182">O167+1</f>
        <v>2035</v>
      </c>
      <c r="Q167" s="317">
        <f t="shared" ref="Q167" si="183">P167+1</f>
        <v>2036</v>
      </c>
      <c r="R167" s="317">
        <f t="shared" ref="R167" si="184">Q167+1</f>
        <v>2037</v>
      </c>
      <c r="S167" s="317">
        <f t="shared" ref="S167" si="185">R167+1</f>
        <v>2038</v>
      </c>
      <c r="T167" s="317">
        <f t="shared" ref="T167" si="186">S167+1</f>
        <v>2039</v>
      </c>
      <c r="U167" s="317">
        <f t="shared" ref="U167" si="187">T167+1</f>
        <v>2040</v>
      </c>
      <c r="V167" s="317">
        <f>U167+1</f>
        <v>2041</v>
      </c>
      <c r="W167" s="317">
        <f t="shared" ref="W167" si="188">V167+1</f>
        <v>2042</v>
      </c>
      <c r="X167" s="317">
        <f t="shared" ref="X167" si="189">W167+1</f>
        <v>2043</v>
      </c>
      <c r="Y167" s="317">
        <f t="shared" ref="Y167" si="190">X167+1</f>
        <v>2044</v>
      </c>
      <c r="Z167" s="317">
        <f t="shared" ref="Z167" si="191">Y167+1</f>
        <v>2045</v>
      </c>
      <c r="AA167" s="317">
        <f t="shared" ref="AA167" si="192">Z167+1</f>
        <v>2046</v>
      </c>
    </row>
    <row r="168" spans="1:27" ht="15" customHeight="1" outlineLevel="1">
      <c r="A168" s="66"/>
      <c r="B168" s="86"/>
      <c r="C168" s="104"/>
      <c r="D168" s="96"/>
      <c r="E168" s="96"/>
      <c r="F168" s="96"/>
      <c r="G168" s="96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</row>
    <row r="169" spans="1:27" ht="15" customHeight="1" outlineLevel="1">
      <c r="A169" s="66"/>
      <c r="B169" s="370" t="s">
        <v>41</v>
      </c>
      <c r="C169" s="371">
        <f>Inputs!$F$16</f>
        <v>0.20599999999999999</v>
      </c>
      <c r="D169" s="96"/>
      <c r="E169" s="96"/>
      <c r="F169" s="96"/>
      <c r="G169" s="96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</row>
    <row r="170" spans="1:27" s="95" customFormat="1" ht="15" customHeight="1" outlineLevel="1">
      <c r="B170" s="86"/>
      <c r="C170" s="104"/>
      <c r="D170" s="96"/>
      <c r="E170" s="96"/>
      <c r="F170" s="96"/>
      <c r="G170" s="96"/>
      <c r="H170" s="96"/>
      <c r="I170" s="100"/>
      <c r="J170" s="100"/>
      <c r="K170" s="100"/>
      <c r="L170" s="100"/>
      <c r="M170" s="100"/>
      <c r="N170" s="100"/>
    </row>
    <row r="171" spans="1:27" s="95" customFormat="1" ht="15" customHeight="1" outlineLevel="1">
      <c r="B171" s="221" t="s">
        <v>74</v>
      </c>
      <c r="D171" s="240"/>
      <c r="E171" s="96"/>
      <c r="F171" s="96"/>
      <c r="G171" s="96"/>
      <c r="H171" s="96"/>
    </row>
    <row r="172" spans="1:27" s="95" customFormat="1" ht="15" customHeight="1" outlineLevel="1">
      <c r="B172" s="222" t="s">
        <v>69</v>
      </c>
      <c r="C172" s="104"/>
      <c r="D172" s="96"/>
      <c r="E172" s="96"/>
      <c r="F172" s="191" t="s">
        <v>185</v>
      </c>
      <c r="G172" s="191" t="s">
        <v>185</v>
      </c>
      <c r="H172" s="148">
        <f>H$97</f>
        <v>442.42319786199977</v>
      </c>
      <c r="I172" s="148">
        <f t="shared" ref="I172:AA172" si="193">I97</f>
        <v>560.26737506622055</v>
      </c>
      <c r="J172" s="148">
        <f t="shared" si="193"/>
        <v>682.64835007946385</v>
      </c>
      <c r="K172" s="148">
        <f t="shared" si="193"/>
        <v>1198.620857897655</v>
      </c>
      <c r="L172" s="148">
        <f t="shared" si="193"/>
        <v>1334.6645424581168</v>
      </c>
      <c r="M172" s="148">
        <f t="shared" si="193"/>
        <v>1475.1239962532345</v>
      </c>
      <c r="N172" s="148">
        <f t="shared" si="193"/>
        <v>1500.8929548991</v>
      </c>
      <c r="O172" s="148">
        <f t="shared" si="193"/>
        <v>1523.3018976300746</v>
      </c>
      <c r="P172" s="148">
        <f t="shared" si="193"/>
        <v>1546.0220587210617</v>
      </c>
      <c r="Q172" s="148">
        <f t="shared" si="193"/>
        <v>1569.0571972503612</v>
      </c>
      <c r="R172" s="148">
        <f t="shared" si="193"/>
        <v>1588.3974840562655</v>
      </c>
      <c r="S172" s="148">
        <f t="shared" si="193"/>
        <v>1603.8380314567701</v>
      </c>
      <c r="T172" s="148">
        <f t="shared" si="193"/>
        <v>1619.3261513687937</v>
      </c>
      <c r="U172" s="148">
        <f t="shared" si="193"/>
        <v>1634.8586154275827</v>
      </c>
      <c r="V172" s="148">
        <f t="shared" si="193"/>
        <v>1650.4320638240524</v>
      </c>
      <c r="W172" s="148">
        <f t="shared" si="193"/>
        <v>1666.0430016058554</v>
      </c>
      <c r="X172" s="148">
        <f t="shared" si="193"/>
        <v>1681.6877948873807</v>
      </c>
      <c r="Y172" s="148">
        <f t="shared" si="193"/>
        <v>1697.3626669665271</v>
      </c>
      <c r="Z172" s="148">
        <f t="shared" si="193"/>
        <v>1713.0636943461611</v>
      </c>
      <c r="AA172" s="148">
        <f t="shared" si="193"/>
        <v>1728.7868026580309</v>
      </c>
    </row>
    <row r="173" spans="1:27" s="95" customFormat="1" ht="15" customHeight="1" outlineLevel="1">
      <c r="B173" s="222" t="s">
        <v>182</v>
      </c>
      <c r="F173" s="191" t="s">
        <v>185</v>
      </c>
      <c r="G173" s="191" t="s">
        <v>185</v>
      </c>
      <c r="H173" s="148">
        <f t="shared" ref="H173:AA173" si="194">-MAX($C$169*H$101,0)</f>
        <v>-60.239178759571949</v>
      </c>
      <c r="I173" s="148">
        <f t="shared" si="194"/>
        <v>-84.515079263641425</v>
      </c>
      <c r="J173" s="148">
        <f t="shared" si="194"/>
        <v>-109.72556011636955</v>
      </c>
      <c r="K173" s="148">
        <f t="shared" si="194"/>
        <v>-190.26589672691694</v>
      </c>
      <c r="L173" s="148">
        <f t="shared" si="194"/>
        <v>-218.29089574637206</v>
      </c>
      <c r="M173" s="148">
        <f t="shared" si="194"/>
        <v>-247.22554322816629</v>
      </c>
      <c r="N173" s="148">
        <f t="shared" si="194"/>
        <v>-252.5339487092146</v>
      </c>
      <c r="O173" s="148">
        <f t="shared" si="194"/>
        <v>-257.15019091179533</v>
      </c>
      <c r="P173" s="148">
        <f t="shared" si="194"/>
        <v>-261.83054409653869</v>
      </c>
      <c r="Q173" s="148">
        <f t="shared" si="194"/>
        <v>-266.57578263357442</v>
      </c>
      <c r="R173" s="148">
        <f t="shared" si="194"/>
        <v>-270.55988171559068</v>
      </c>
      <c r="S173" s="148">
        <f t="shared" si="194"/>
        <v>-273.74063448009463</v>
      </c>
      <c r="T173" s="148">
        <f t="shared" si="194"/>
        <v>-276.9311871819715</v>
      </c>
      <c r="U173" s="148">
        <f t="shared" si="194"/>
        <v>-280.13087477808199</v>
      </c>
      <c r="V173" s="148">
        <f t="shared" si="194"/>
        <v>-283.33900514775479</v>
      </c>
      <c r="W173" s="148">
        <f t="shared" si="194"/>
        <v>-286.55485833080621</v>
      </c>
      <c r="X173" s="148">
        <f t="shared" si="194"/>
        <v>-289.77768574680039</v>
      </c>
      <c r="Y173" s="148">
        <f t="shared" si="194"/>
        <v>-293.00670939510456</v>
      </c>
      <c r="Z173" s="148">
        <f t="shared" si="194"/>
        <v>-296.24112103530916</v>
      </c>
      <c r="AA173" s="148">
        <f t="shared" si="194"/>
        <v>-299.48008134755435</v>
      </c>
    </row>
    <row r="174" spans="1:27" s="95" customFormat="1" ht="15" customHeight="1" outlineLevel="1">
      <c r="B174" s="222" t="s">
        <v>238</v>
      </c>
      <c r="F174" s="38">
        <f>-F$152</f>
        <v>-1500</v>
      </c>
      <c r="G174" s="38">
        <f t="shared" ref="G174:AA174" si="195">-G$152</f>
        <v>-1500</v>
      </c>
      <c r="H174" s="38">
        <f t="shared" si="195"/>
        <v>-1018.374285916</v>
      </c>
      <c r="I174" s="38">
        <f t="shared" si="195"/>
        <v>-1022.7578655559601</v>
      </c>
      <c r="J174" s="38">
        <f t="shared" si="195"/>
        <v>-527.30943866715199</v>
      </c>
      <c r="K174" s="38">
        <f t="shared" si="195"/>
        <v>-47.308140603107404</v>
      </c>
      <c r="L174" s="38">
        <f t="shared" si="195"/>
        <v>-52.460553681145832</v>
      </c>
      <c r="M174" s="38">
        <f t="shared" si="195"/>
        <v>-57.791680217391999</v>
      </c>
      <c r="N174" s="38">
        <f t="shared" si="195"/>
        <v>-58.889722141522441</v>
      </c>
      <c r="O174" s="38">
        <f t="shared" si="195"/>
        <v>-59.94973714006985</v>
      </c>
      <c r="P174" s="38">
        <f t="shared" si="195"/>
        <v>-61.0288324085911</v>
      </c>
      <c r="Q174" s="38">
        <f t="shared" si="195"/>
        <v>-62.127351391945744</v>
      </c>
      <c r="R174" s="38">
        <f t="shared" si="195"/>
        <v>-63.18351636560881</v>
      </c>
      <c r="S174" s="38">
        <f t="shared" si="195"/>
        <v>-64.19445262745856</v>
      </c>
      <c r="T174" s="38">
        <f t="shared" si="195"/>
        <v>-65.221563869497899</v>
      </c>
      <c r="U174" s="38">
        <f t="shared" si="195"/>
        <v>-66.265108891409852</v>
      </c>
      <c r="V174" s="38">
        <f t="shared" si="195"/>
        <v>-67.325350633672429</v>
      </c>
      <c r="W174" s="38">
        <f t="shared" si="195"/>
        <v>-68.402556243811176</v>
      </c>
      <c r="X174" s="38">
        <f t="shared" si="195"/>
        <v>-69.49699714371215</v>
      </c>
      <c r="Y174" s="38">
        <f t="shared" si="195"/>
        <v>-70.60894909801155</v>
      </c>
      <c r="Z174" s="38">
        <f t="shared" si="195"/>
        <v>-71.738692283579738</v>
      </c>
      <c r="AA174" s="38">
        <f t="shared" si="195"/>
        <v>-72.886511360117026</v>
      </c>
    </row>
    <row r="175" spans="1:27" s="95" customFormat="1" ht="15" customHeight="1" outlineLevel="1">
      <c r="B175" s="222" t="s">
        <v>71</v>
      </c>
      <c r="F175" s="191" t="s">
        <v>185</v>
      </c>
      <c r="G175" s="191" t="s">
        <v>185</v>
      </c>
      <c r="H175" s="148">
        <f>H$140</f>
        <v>-17.452535484931502</v>
      </c>
      <c r="I175" s="148">
        <f t="shared" ref="I175:AA175" si="196">I$140</f>
        <v>-39.949390608547986</v>
      </c>
      <c r="J175" s="148">
        <f t="shared" si="196"/>
        <v>-41.48038521869583</v>
      </c>
      <c r="K175" s="148">
        <f t="shared" si="196"/>
        <v>-182.2088651850018</v>
      </c>
      <c r="L175" s="148">
        <f t="shared" si="196"/>
        <v>-46.898007739759009</v>
      </c>
      <c r="M175" s="148">
        <f t="shared" si="196"/>
        <v>-48.515710719734898</v>
      </c>
      <c r="N175" s="148">
        <f t="shared" si="196"/>
        <v>-9.9441011981576821</v>
      </c>
      <c r="O175" s="148">
        <f t="shared" si="196"/>
        <v>-9.5347186465079403</v>
      </c>
      <c r="P175" s="148">
        <f t="shared" si="196"/>
        <v>-9.7039163164596403</v>
      </c>
      <c r="Q175" s="148">
        <f t="shared" si="196"/>
        <v>-9.8761109991568219</v>
      </c>
      <c r="R175" s="148">
        <f t="shared" si="196"/>
        <v>-9.4213960837140576</v>
      </c>
      <c r="S175" s="148">
        <f t="shared" si="196"/>
        <v>-8.9370271673174102</v>
      </c>
      <c r="T175" s="148">
        <f t="shared" si="196"/>
        <v>-9.0747649011168505</v>
      </c>
      <c r="U175" s="148">
        <f t="shared" si="196"/>
        <v>-9.2146013446390498</v>
      </c>
      <c r="V175" s="148">
        <f t="shared" si="196"/>
        <v>-9.3565679753602353</v>
      </c>
      <c r="W175" s="148">
        <f t="shared" si="196"/>
        <v>-9.5006967323566869</v>
      </c>
      <c r="X175" s="148">
        <f t="shared" si="196"/>
        <v>-9.6470200228528711</v>
      </c>
      <c r="Y175" s="148">
        <f t="shared" si="196"/>
        <v>-9.7955707288529084</v>
      </c>
      <c r="Z175" s="148">
        <f t="shared" si="196"/>
        <v>-9.9463822138615114</v>
      </c>
      <c r="AA175" s="148">
        <f t="shared" si="196"/>
        <v>-10.09948832969701</v>
      </c>
    </row>
    <row r="176" spans="1:27" ht="15" customHeight="1" outlineLevel="1" thickBot="1">
      <c r="B176" s="222" t="s">
        <v>70</v>
      </c>
      <c r="C176" s="95"/>
      <c r="D176" s="95"/>
      <c r="E176" s="95"/>
      <c r="F176" s="239">
        <f>SUM(F172:F175)</f>
        <v>-1500</v>
      </c>
      <c r="G176" s="239">
        <f>SUM(G172:G175)</f>
        <v>-1500</v>
      </c>
      <c r="H176" s="239">
        <f>SUM(H172:H175)</f>
        <v>-653.64280229850374</v>
      </c>
      <c r="I176" s="239">
        <f t="shared" ref="I176:AA176" si="197">SUM(I172:I175)</f>
        <v>-586.95496036192901</v>
      </c>
      <c r="J176" s="239">
        <f t="shared" si="197"/>
        <v>4.1329660772464365</v>
      </c>
      <c r="K176" s="239">
        <f t="shared" si="197"/>
        <v>778.83795538262893</v>
      </c>
      <c r="L176" s="239">
        <f t="shared" si="197"/>
        <v>1017.0150852908397</v>
      </c>
      <c r="M176" s="239">
        <f t="shared" si="197"/>
        <v>1121.5910620879413</v>
      </c>
      <c r="N176" s="239">
        <f t="shared" si="197"/>
        <v>1179.5251828502051</v>
      </c>
      <c r="O176" s="239">
        <f t="shared" si="197"/>
        <v>1196.6672509317013</v>
      </c>
      <c r="P176" s="239">
        <f t="shared" si="197"/>
        <v>1213.4587658994724</v>
      </c>
      <c r="Q176" s="239">
        <f t="shared" si="197"/>
        <v>1230.4779522256845</v>
      </c>
      <c r="R176" s="239">
        <f t="shared" si="197"/>
        <v>1245.232689891352</v>
      </c>
      <c r="S176" s="239">
        <f t="shared" si="197"/>
        <v>1256.9659171818996</v>
      </c>
      <c r="T176" s="239">
        <f t="shared" si="197"/>
        <v>1268.0986354162073</v>
      </c>
      <c r="U176" s="239">
        <f t="shared" si="197"/>
        <v>1279.2480304134517</v>
      </c>
      <c r="V176" s="239">
        <f t="shared" si="197"/>
        <v>1290.411140067265</v>
      </c>
      <c r="W176" s="239">
        <f t="shared" si="197"/>
        <v>1301.5848902988814</v>
      </c>
      <c r="X176" s="239">
        <f t="shared" si="197"/>
        <v>1312.7660919740151</v>
      </c>
      <c r="Y176" s="239">
        <f t="shared" si="197"/>
        <v>1323.951437744558</v>
      </c>
      <c r="Z176" s="239">
        <f t="shared" si="197"/>
        <v>1335.1374988134107</v>
      </c>
      <c r="AA176" s="239">
        <f t="shared" si="197"/>
        <v>1346.3207216206624</v>
      </c>
    </row>
    <row r="177" spans="1:27" ht="15" customHeight="1" outlineLevel="1">
      <c r="N177" s="11"/>
    </row>
    <row r="178" spans="1:27" s="66" customFormat="1" ht="15" customHeight="1" outlineLevel="1">
      <c r="B178" s="142"/>
      <c r="C178" s="238"/>
      <c r="D178" s="237"/>
      <c r="E178" s="237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</row>
    <row r="179" spans="1:27" s="95" customFormat="1" ht="15" customHeight="1">
      <c r="B179" s="86"/>
      <c r="C179" s="104"/>
      <c r="D179" s="96"/>
      <c r="E179" s="96"/>
      <c r="F179" s="96"/>
      <c r="G179" s="96"/>
      <c r="H179" s="96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</row>
    <row r="180" spans="1:27" s="95" customFormat="1" ht="15" customHeight="1">
      <c r="A180" s="95" t="s">
        <v>0</v>
      </c>
      <c r="B180" s="108" t="s">
        <v>242</v>
      </c>
      <c r="C180" s="107"/>
      <c r="D180" s="106"/>
      <c r="E180" s="106"/>
      <c r="F180" s="105"/>
      <c r="G180" s="105"/>
      <c r="H180" s="105"/>
      <c r="I180" s="105"/>
      <c r="J180" s="105"/>
      <c r="K180" s="105"/>
      <c r="L180" s="105"/>
      <c r="M180" s="10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  <c r="AA180" s="235"/>
    </row>
    <row r="181" spans="1:27" s="95" customFormat="1" ht="15" customHeight="1" outlineLevel="1">
      <c r="B181" s="192"/>
      <c r="C181" s="104"/>
      <c r="D181" s="103"/>
      <c r="E181" s="103"/>
      <c r="F181" s="102"/>
      <c r="G181" s="102"/>
      <c r="H181" s="102"/>
      <c r="I181" s="102"/>
      <c r="J181" s="102"/>
      <c r="K181" s="102"/>
      <c r="L181" s="102"/>
      <c r="M181" s="102"/>
      <c r="N181" s="102"/>
      <c r="O181" s="230"/>
    </row>
    <row r="182" spans="1:27" s="95" customFormat="1" ht="15" customHeight="1" outlineLevel="1">
      <c r="B182" s="86" t="s">
        <v>134</v>
      </c>
      <c r="C182" s="104"/>
      <c r="D182" s="103"/>
      <c r="E182" s="103"/>
    </row>
    <row r="183" spans="1:27" s="95" customFormat="1" ht="15" customHeight="1" outlineLevel="1">
      <c r="B183" s="86" t="str" cm="1">
        <f t="array" ref="B183">CONCATENATE("Model Drivers: ",INDEX(Inputs!$B$96:$B$98,Inputs!$D$86)," &amp; ",INDEX(Inputs!$B$143:$B$144,Inputs!$D$139)," Financing")</f>
        <v>Model Drivers: Base Case &amp; Two Phased  Financing</v>
      </c>
      <c r="E183" s="96"/>
    </row>
    <row r="184" spans="1:27" s="95" customFormat="1" ht="15" customHeight="1" outlineLevel="1">
      <c r="E184" s="96"/>
      <c r="H184" s="375"/>
      <c r="I184" s="375"/>
      <c r="J184" s="375"/>
      <c r="K184" s="375"/>
      <c r="L184" s="375"/>
      <c r="M184" s="375"/>
      <c r="N184" s="375"/>
      <c r="O184" s="230"/>
      <c r="P184" s="374"/>
    </row>
    <row r="185" spans="1:27" s="95" customFormat="1" ht="15" customHeight="1" outlineLevel="1">
      <c r="B185" s="164" t="s">
        <v>81</v>
      </c>
      <c r="C185" s="104"/>
      <c r="D185" s="103"/>
      <c r="E185" s="103"/>
      <c r="F185" s="376">
        <v>45658</v>
      </c>
      <c r="G185" s="377">
        <f>EDATE(F185,12)</f>
        <v>46023</v>
      </c>
      <c r="H185" s="377">
        <f t="shared" ref="H185:AA185" si="198">EDATE(G185,12)</f>
        <v>46388</v>
      </c>
      <c r="I185" s="377">
        <f t="shared" si="198"/>
        <v>46753</v>
      </c>
      <c r="J185" s="377">
        <f t="shared" si="198"/>
        <v>47119</v>
      </c>
      <c r="K185" s="377">
        <f t="shared" si="198"/>
        <v>47484</v>
      </c>
      <c r="L185" s="377">
        <f t="shared" si="198"/>
        <v>47849</v>
      </c>
      <c r="M185" s="377">
        <f t="shared" si="198"/>
        <v>48214</v>
      </c>
      <c r="N185" s="377">
        <f t="shared" si="198"/>
        <v>48580</v>
      </c>
      <c r="O185" s="377">
        <f t="shared" si="198"/>
        <v>48945</v>
      </c>
      <c r="P185" s="377">
        <f t="shared" si="198"/>
        <v>49310</v>
      </c>
      <c r="Q185" s="377">
        <f t="shared" si="198"/>
        <v>49675</v>
      </c>
      <c r="R185" s="377">
        <f t="shared" si="198"/>
        <v>50041</v>
      </c>
      <c r="S185" s="377">
        <f t="shared" si="198"/>
        <v>50406</v>
      </c>
      <c r="T185" s="377">
        <f t="shared" si="198"/>
        <v>50771</v>
      </c>
      <c r="U185" s="377">
        <f t="shared" si="198"/>
        <v>51136</v>
      </c>
      <c r="V185" s="377">
        <f t="shared" si="198"/>
        <v>51502</v>
      </c>
      <c r="W185" s="377">
        <f t="shared" si="198"/>
        <v>51867</v>
      </c>
      <c r="X185" s="377">
        <f t="shared" si="198"/>
        <v>52232</v>
      </c>
      <c r="Y185" s="377">
        <f t="shared" si="198"/>
        <v>52597</v>
      </c>
      <c r="Z185" s="377">
        <f t="shared" si="198"/>
        <v>52963</v>
      </c>
      <c r="AA185" s="378">
        <f t="shared" si="198"/>
        <v>53328</v>
      </c>
    </row>
    <row r="186" spans="1:27" s="95" customFormat="1" ht="15" customHeight="1" outlineLevel="1">
      <c r="B186" s="164" t="s">
        <v>70</v>
      </c>
      <c r="D186" s="96"/>
      <c r="E186" s="96"/>
      <c r="F186" s="410">
        <f>F176</f>
        <v>-1500</v>
      </c>
      <c r="G186" s="148">
        <f t="shared" ref="G186:AA186" si="199">G176</f>
        <v>-1500</v>
      </c>
      <c r="H186" s="148">
        <f t="shared" si="199"/>
        <v>-653.64280229850374</v>
      </c>
      <c r="I186" s="148">
        <f t="shared" si="199"/>
        <v>-586.95496036192901</v>
      </c>
      <c r="J186" s="148">
        <f t="shared" si="199"/>
        <v>4.1329660772464365</v>
      </c>
      <c r="K186" s="148">
        <f t="shared" si="199"/>
        <v>778.83795538262893</v>
      </c>
      <c r="L186" s="148">
        <f t="shared" si="199"/>
        <v>1017.0150852908397</v>
      </c>
      <c r="M186" s="148">
        <f t="shared" si="199"/>
        <v>1121.5910620879413</v>
      </c>
      <c r="N186" s="148">
        <f t="shared" si="199"/>
        <v>1179.5251828502051</v>
      </c>
      <c r="O186" s="148">
        <f t="shared" si="199"/>
        <v>1196.6672509317013</v>
      </c>
      <c r="P186" s="148">
        <f t="shared" si="199"/>
        <v>1213.4587658994724</v>
      </c>
      <c r="Q186" s="148">
        <f t="shared" si="199"/>
        <v>1230.4779522256845</v>
      </c>
      <c r="R186" s="148">
        <f t="shared" si="199"/>
        <v>1245.232689891352</v>
      </c>
      <c r="S186" s="148">
        <f t="shared" si="199"/>
        <v>1256.9659171818996</v>
      </c>
      <c r="T186" s="148">
        <f t="shared" si="199"/>
        <v>1268.0986354162073</v>
      </c>
      <c r="U186" s="148">
        <f t="shared" si="199"/>
        <v>1279.2480304134517</v>
      </c>
      <c r="V186" s="148">
        <f t="shared" si="199"/>
        <v>1290.411140067265</v>
      </c>
      <c r="W186" s="148">
        <f t="shared" si="199"/>
        <v>1301.5848902988814</v>
      </c>
      <c r="X186" s="148">
        <f t="shared" si="199"/>
        <v>1312.7660919740151</v>
      </c>
      <c r="Y186" s="148">
        <f t="shared" si="199"/>
        <v>1323.951437744558</v>
      </c>
      <c r="Z186" s="148">
        <f t="shared" si="199"/>
        <v>1335.1374988134107</v>
      </c>
      <c r="AA186" s="411">
        <f t="shared" si="199"/>
        <v>1346.3207216206624</v>
      </c>
    </row>
    <row r="187" spans="1:27" s="95" customFormat="1" ht="15" customHeight="1" outlineLevel="1">
      <c r="B187" s="164" t="s">
        <v>192</v>
      </c>
      <c r="D187" s="96"/>
      <c r="E187" s="96"/>
      <c r="F187" s="379">
        <f>F176</f>
        <v>-1500</v>
      </c>
      <c r="G187" s="380">
        <f>F187+G176</f>
        <v>-3000</v>
      </c>
      <c r="H187" s="380">
        <f t="shared" ref="H187:AA187" si="200">G187+H176</f>
        <v>-3653.6428022985037</v>
      </c>
      <c r="I187" s="380">
        <f t="shared" si="200"/>
        <v>-4240.5977626604326</v>
      </c>
      <c r="J187" s="380">
        <f t="shared" si="200"/>
        <v>-4236.4647965831864</v>
      </c>
      <c r="K187" s="380">
        <f t="shared" si="200"/>
        <v>-3457.6268412005575</v>
      </c>
      <c r="L187" s="380">
        <f t="shared" si="200"/>
        <v>-2440.6117559097179</v>
      </c>
      <c r="M187" s="380">
        <f t="shared" si="200"/>
        <v>-1319.0206938217766</v>
      </c>
      <c r="N187" s="380">
        <f t="shared" si="200"/>
        <v>-139.49551097157155</v>
      </c>
      <c r="O187" s="380">
        <f t="shared" si="200"/>
        <v>1057.1717399601298</v>
      </c>
      <c r="P187" s="380">
        <f t="shared" si="200"/>
        <v>2270.6305058596022</v>
      </c>
      <c r="Q187" s="380">
        <f t="shared" si="200"/>
        <v>3501.1084580852867</v>
      </c>
      <c r="R187" s="380">
        <f t="shared" si="200"/>
        <v>4746.3411479766382</v>
      </c>
      <c r="S187" s="380">
        <f t="shared" si="200"/>
        <v>6003.3070651585376</v>
      </c>
      <c r="T187" s="380">
        <f t="shared" si="200"/>
        <v>7271.4057005747454</v>
      </c>
      <c r="U187" s="380">
        <f t="shared" si="200"/>
        <v>8550.6537309881969</v>
      </c>
      <c r="V187" s="380">
        <f t="shared" si="200"/>
        <v>9841.0648710554615</v>
      </c>
      <c r="W187" s="380">
        <f t="shared" si="200"/>
        <v>11142.649761354343</v>
      </c>
      <c r="X187" s="380">
        <f t="shared" si="200"/>
        <v>12455.415853328359</v>
      </c>
      <c r="Y187" s="380">
        <f t="shared" si="200"/>
        <v>13779.367291072916</v>
      </c>
      <c r="Z187" s="380">
        <f t="shared" si="200"/>
        <v>15114.504789886327</v>
      </c>
      <c r="AA187" s="381">
        <f t="shared" si="200"/>
        <v>16460.825511506988</v>
      </c>
    </row>
    <row r="188" spans="1:27" s="95" customFormat="1" ht="15" customHeight="1" outlineLevel="1">
      <c r="B188" s="164"/>
      <c r="D188" s="96"/>
      <c r="E188" s="96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</row>
    <row r="189" spans="1:27" s="95" customFormat="1" ht="15" customHeight="1" outlineLevel="1">
      <c r="B189" s="393" t="s">
        <v>6</v>
      </c>
      <c r="C189" s="394">
        <f>Outputs!$C$94</f>
        <v>8.3159674767419423E-2</v>
      </c>
      <c r="O189" s="223"/>
    </row>
    <row r="190" spans="1:27" s="95" customFormat="1" ht="15" customHeight="1" outlineLevel="1">
      <c r="B190" s="86"/>
      <c r="D190" s="8"/>
      <c r="E190" s="96"/>
      <c r="F190" s="8"/>
      <c r="G190" s="96"/>
      <c r="H190" s="96"/>
      <c r="I190" s="100"/>
      <c r="J190" s="100"/>
      <c r="K190" s="100"/>
      <c r="L190" s="100"/>
      <c r="M190" s="100"/>
    </row>
    <row r="191" spans="1:27" s="95" customFormat="1" ht="15" customHeight="1" outlineLevel="1">
      <c r="B191" s="221" t="s">
        <v>189</v>
      </c>
      <c r="D191" s="8"/>
      <c r="E191" s="96"/>
      <c r="F191" s="496">
        <f>IFERROR(XIRR(F186:AA186,F185:AA185),_xleta.NA)</f>
        <v>0.15763643383979803</v>
      </c>
      <c r="G191" s="8"/>
      <c r="H191" s="8"/>
      <c r="I191" s="8"/>
      <c r="J191" s="8"/>
      <c r="K191" s="8"/>
      <c r="L191" s="8"/>
      <c r="M191" s="8"/>
      <c r="N191" s="8"/>
    </row>
    <row r="192" spans="1:27" s="95" customFormat="1" ht="15" customHeight="1" outlineLevel="1">
      <c r="B192" s="382"/>
      <c r="D192" s="96"/>
      <c r="E192" s="96"/>
      <c r="F192" s="497"/>
      <c r="G192" s="8"/>
      <c r="H192" s="8"/>
      <c r="I192" s="8"/>
      <c r="J192" s="8"/>
      <c r="K192" s="8"/>
      <c r="L192" s="8"/>
      <c r="M192" s="8"/>
      <c r="N192" s="8"/>
      <c r="O192" s="223"/>
    </row>
    <row r="193" spans="1:27" s="95" customFormat="1" ht="15" customHeight="1" outlineLevel="1">
      <c r="B193" s="221" t="s">
        <v>190</v>
      </c>
      <c r="D193" s="96"/>
      <c r="E193" s="96"/>
      <c r="F193" s="498">
        <f>XNPV(C189,F186:AA186,F185:AA185)</f>
        <v>3691.4990702827049</v>
      </c>
      <c r="G193" s="8"/>
      <c r="H193" s="8"/>
      <c r="I193" s="8"/>
      <c r="J193" s="8"/>
      <c r="K193" s="8"/>
      <c r="L193" s="8"/>
      <c r="M193" s="8"/>
      <c r="N193" s="8"/>
      <c r="O193" s="223"/>
    </row>
    <row r="194" spans="1:27" s="95" customFormat="1" ht="14" customHeight="1" outlineLevel="1">
      <c r="B194" s="222"/>
      <c r="D194" s="96"/>
      <c r="E194" s="96"/>
      <c r="F194" s="497"/>
      <c r="G194" s="8"/>
      <c r="H194" s="8"/>
      <c r="I194" s="8"/>
      <c r="J194" s="8"/>
      <c r="K194" s="8"/>
      <c r="L194" s="8"/>
      <c r="M194" s="8"/>
      <c r="N194" s="8"/>
      <c r="O194" s="223"/>
    </row>
    <row r="195" spans="1:27" s="95" customFormat="1" ht="15" customHeight="1" outlineLevel="1">
      <c r="B195" s="221" t="s">
        <v>191</v>
      </c>
      <c r="D195" s="229"/>
      <c r="E195" s="96"/>
      <c r="F195" s="499">
        <f>COUNTIF(F187:AA187,"&lt;0")+1</f>
        <v>10</v>
      </c>
      <c r="G195" s="8"/>
      <c r="H195" s="8"/>
      <c r="I195" s="8"/>
      <c r="J195" s="8"/>
      <c r="K195" s="8"/>
      <c r="L195" s="8"/>
      <c r="M195" s="8"/>
      <c r="N195" s="8"/>
      <c r="O195" s="223"/>
    </row>
    <row r="196" spans="1:27" s="95" customFormat="1" ht="15" customHeight="1" outlineLevel="1">
      <c r="B196" s="220"/>
      <c r="C196" s="140"/>
      <c r="D196" s="219"/>
      <c r="E196" s="219"/>
      <c r="F196" s="500"/>
      <c r="G196" s="219"/>
      <c r="H196" s="219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</row>
    <row r="197" spans="1:27" s="95" customFormat="1" ht="15" customHeight="1">
      <c r="B197" s="86"/>
      <c r="C197" s="104"/>
      <c r="D197" s="96"/>
      <c r="E197" s="96"/>
      <c r="F197" s="96"/>
      <c r="G197" s="96"/>
      <c r="H197" s="96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</row>
    <row r="198" spans="1:27" ht="15" customHeight="1">
      <c r="A198" s="8" t="s">
        <v>0</v>
      </c>
      <c r="B198" s="108" t="s">
        <v>224</v>
      </c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</row>
    <row r="199" spans="1:27" ht="15" customHeight="1" outlineLevel="1">
      <c r="B199" s="395"/>
      <c r="C199" s="396"/>
      <c r="D199" s="397"/>
      <c r="E199" s="445"/>
      <c r="F199" s="445"/>
      <c r="G199" s="445"/>
      <c r="H199" s="445"/>
      <c r="I199" s="445"/>
      <c r="J199" s="445"/>
      <c r="K199" s="445"/>
      <c r="L199" s="445"/>
      <c r="M199" s="445"/>
      <c r="N199" s="445"/>
      <c r="O199" s="445"/>
    </row>
    <row r="200" spans="1:27" ht="15" customHeight="1" outlineLevel="1">
      <c r="B200" s="86" t="s">
        <v>134</v>
      </c>
      <c r="C200" s="396"/>
      <c r="D200" s="398"/>
      <c r="E200" s="398"/>
      <c r="F200" s="398"/>
      <c r="G200" s="398"/>
      <c r="H200" s="101"/>
      <c r="I200" s="96"/>
      <c r="J200" s="398"/>
      <c r="K200" s="100"/>
      <c r="L200" s="100"/>
      <c r="M200" s="100"/>
      <c r="N200" s="100"/>
      <c r="O200" s="100"/>
    </row>
    <row r="201" spans="1:27" ht="15" customHeight="1" outlineLevel="1" thickBot="1">
      <c r="B201" s="86" t="str" cm="1">
        <f t="array" ref="B201">CONCATENATE("Model Drivers: ",INDEX(Inputs!$B$96:$B$98,Inputs!$D$86)," &amp; ",INDEX(Inputs!$B$143:$B$144,Inputs!$D$139)," Financing")</f>
        <v>Model Drivers: Base Case &amp; Two Phased  Financing</v>
      </c>
      <c r="C201" s="396"/>
      <c r="D201" s="398"/>
      <c r="E201" s="398"/>
      <c r="F201" s="245">
        <v>2025</v>
      </c>
      <c r="G201" s="245">
        <v>2026</v>
      </c>
      <c r="H201" s="316">
        <f>Inputs!$F$8</f>
        <v>2027</v>
      </c>
      <c r="I201" s="316">
        <f>H201+1</f>
        <v>2028</v>
      </c>
      <c r="J201" s="316">
        <f t="shared" ref="J201" si="201">I201+1</f>
        <v>2029</v>
      </c>
      <c r="K201" s="317">
        <f t="shared" ref="K201" si="202">J201+1</f>
        <v>2030</v>
      </c>
      <c r="L201" s="317">
        <f t="shared" ref="L201" si="203">K201+1</f>
        <v>2031</v>
      </c>
      <c r="M201" s="317">
        <f t="shared" ref="M201" si="204">L201+1</f>
        <v>2032</v>
      </c>
      <c r="N201" s="317">
        <f t="shared" ref="N201" si="205">M201+1</f>
        <v>2033</v>
      </c>
      <c r="O201" s="317">
        <f t="shared" ref="O201" si="206">N201+1</f>
        <v>2034</v>
      </c>
      <c r="P201" s="317">
        <f t="shared" ref="P201" si="207">O201+1</f>
        <v>2035</v>
      </c>
      <c r="Q201" s="317">
        <f t="shared" ref="Q201" si="208">P201+1</f>
        <v>2036</v>
      </c>
      <c r="R201" s="317">
        <f t="shared" ref="R201" si="209">Q201+1</f>
        <v>2037</v>
      </c>
      <c r="S201" s="317">
        <f t="shared" ref="S201" si="210">R201+1</f>
        <v>2038</v>
      </c>
      <c r="T201" s="317">
        <f t="shared" ref="T201" si="211">S201+1</f>
        <v>2039</v>
      </c>
      <c r="U201" s="317">
        <f t="shared" ref="U201" si="212">T201+1</f>
        <v>2040</v>
      </c>
      <c r="V201" s="317">
        <f>U201+1</f>
        <v>2041</v>
      </c>
      <c r="W201" s="317">
        <f t="shared" ref="W201" si="213">V201+1</f>
        <v>2042</v>
      </c>
      <c r="X201" s="317">
        <f t="shared" ref="X201" si="214">W201+1</f>
        <v>2043</v>
      </c>
      <c r="Y201" s="317">
        <f t="shared" ref="Y201" si="215">X201+1</f>
        <v>2044</v>
      </c>
      <c r="Z201" s="317">
        <f t="shared" ref="Z201" si="216">Y201+1</f>
        <v>2045</v>
      </c>
      <c r="AA201" s="317">
        <f t="shared" ref="AA201" si="217">Z201+1</f>
        <v>2046</v>
      </c>
    </row>
    <row r="202" spans="1:27" ht="15" customHeight="1" outlineLevel="1">
      <c r="B202" s="86"/>
      <c r="C202" s="396"/>
      <c r="D202" s="398"/>
      <c r="E202" s="398"/>
      <c r="F202" s="398"/>
      <c r="G202" s="398"/>
      <c r="H202" s="101"/>
      <c r="I202" s="96"/>
      <c r="J202" s="398"/>
      <c r="K202" s="100"/>
      <c r="L202" s="100"/>
      <c r="M202" s="100"/>
      <c r="N202" s="100"/>
      <c r="O202" s="100"/>
    </row>
    <row r="203" spans="1:27" ht="15" customHeight="1" outlineLevel="1">
      <c r="B203" s="86"/>
      <c r="C203" s="396"/>
      <c r="D203" s="398"/>
      <c r="E203" s="398"/>
      <c r="F203" s="398"/>
      <c r="G203" s="398"/>
      <c r="H203" s="101"/>
      <c r="I203" s="96"/>
      <c r="J203" s="398"/>
      <c r="K203" s="100"/>
      <c r="L203" s="100"/>
      <c r="M203" s="100"/>
      <c r="N203" s="100"/>
      <c r="O203" s="100"/>
    </row>
    <row r="204" spans="1:27" ht="15" customHeight="1" outlineLevel="1">
      <c r="B204" s="404" t="s">
        <v>176</v>
      </c>
      <c r="C204" s="405"/>
      <c r="I204" s="402"/>
      <c r="J204" s="402"/>
      <c r="K204" s="402"/>
      <c r="L204" s="406"/>
      <c r="M204" s="406"/>
      <c r="N204" s="406"/>
      <c r="O204" s="406"/>
    </row>
    <row r="205" spans="1:27" ht="15" customHeight="1" outlineLevel="1">
      <c r="B205" s="222" t="s">
        <v>199</v>
      </c>
      <c r="D205" s="400"/>
      <c r="E205" s="399"/>
      <c r="G205" s="399"/>
      <c r="H205" s="451">
        <v>0.02</v>
      </c>
      <c r="I205" s="451">
        <v>0.02</v>
      </c>
      <c r="J205" s="451">
        <v>0.02</v>
      </c>
      <c r="K205" s="451">
        <v>0.02</v>
      </c>
      <c r="L205" s="451">
        <v>0.02</v>
      </c>
      <c r="M205" s="451">
        <v>0.06</v>
      </c>
      <c r="N205" s="451">
        <v>0.06</v>
      </c>
      <c r="O205" s="451">
        <v>0.06</v>
      </c>
      <c r="P205" s="451">
        <v>0.06</v>
      </c>
      <c r="Q205" s="451">
        <v>0.06</v>
      </c>
      <c r="R205" s="451">
        <v>0.06</v>
      </c>
      <c r="S205" s="451">
        <v>0.06</v>
      </c>
      <c r="T205" s="451">
        <v>0.06</v>
      </c>
      <c r="U205" s="451">
        <v>0.06</v>
      </c>
      <c r="V205" s="451">
        <v>0.06</v>
      </c>
      <c r="W205" s="451">
        <v>0.06</v>
      </c>
      <c r="X205" s="451">
        <v>0.06</v>
      </c>
      <c r="Y205" s="451">
        <v>0.06</v>
      </c>
      <c r="Z205" s="451">
        <v>0.06</v>
      </c>
      <c r="AA205" s="451">
        <v>0.06</v>
      </c>
    </row>
    <row r="206" spans="1:27" ht="15" customHeight="1" outlineLevel="1">
      <c r="B206" s="222"/>
      <c r="D206" s="400"/>
      <c r="E206" s="399"/>
      <c r="G206" s="399"/>
      <c r="H206" s="399"/>
      <c r="I206" s="401"/>
      <c r="J206" s="402"/>
      <c r="K206" s="450"/>
      <c r="L206" s="450"/>
      <c r="M206" s="450"/>
      <c r="N206" s="450"/>
      <c r="O206" s="450"/>
    </row>
    <row r="207" spans="1:27" ht="15" customHeight="1" outlineLevel="1">
      <c r="B207" s="222" t="s">
        <v>79</v>
      </c>
      <c r="E207" s="399"/>
      <c r="G207" s="399"/>
      <c r="H207" s="448">
        <f>G209</f>
        <v>3300</v>
      </c>
      <c r="I207" s="448">
        <f t="shared" ref="I207:AA207" si="218">H209</f>
        <v>3234</v>
      </c>
      <c r="J207" s="448">
        <f t="shared" si="218"/>
        <v>3168</v>
      </c>
      <c r="K207" s="448">
        <f t="shared" si="218"/>
        <v>3102</v>
      </c>
      <c r="L207" s="448">
        <f t="shared" si="218"/>
        <v>3036</v>
      </c>
      <c r="M207" s="448">
        <f t="shared" si="218"/>
        <v>2970</v>
      </c>
      <c r="N207" s="448">
        <f t="shared" si="218"/>
        <v>2772</v>
      </c>
      <c r="O207" s="448">
        <f t="shared" si="218"/>
        <v>2574</v>
      </c>
      <c r="P207" s="448">
        <f t="shared" si="218"/>
        <v>2376</v>
      </c>
      <c r="Q207" s="448">
        <f t="shared" si="218"/>
        <v>2178</v>
      </c>
      <c r="R207" s="448">
        <f t="shared" si="218"/>
        <v>1980</v>
      </c>
      <c r="S207" s="448">
        <f t="shared" si="218"/>
        <v>1782</v>
      </c>
      <c r="T207" s="448">
        <f t="shared" si="218"/>
        <v>1584</v>
      </c>
      <c r="U207" s="448">
        <f t="shared" si="218"/>
        <v>1386</v>
      </c>
      <c r="V207" s="448">
        <f t="shared" si="218"/>
        <v>1188</v>
      </c>
      <c r="W207" s="448">
        <f t="shared" si="218"/>
        <v>990</v>
      </c>
      <c r="X207" s="448">
        <f t="shared" si="218"/>
        <v>792</v>
      </c>
      <c r="Y207" s="448">
        <f t="shared" si="218"/>
        <v>594</v>
      </c>
      <c r="Z207" s="448">
        <f t="shared" si="218"/>
        <v>396</v>
      </c>
      <c r="AA207" s="448">
        <f t="shared" si="218"/>
        <v>198</v>
      </c>
    </row>
    <row r="208" spans="1:27" ht="15" customHeight="1" outlineLevel="1">
      <c r="B208" s="222" t="s">
        <v>222</v>
      </c>
      <c r="E208" s="399"/>
      <c r="G208" s="399"/>
      <c r="H208" s="449">
        <f t="shared" ref="H208:AA208" si="219">H205*$G$209</f>
        <v>66</v>
      </c>
      <c r="I208" s="449">
        <f t="shared" si="219"/>
        <v>66</v>
      </c>
      <c r="J208" s="449">
        <f t="shared" si="219"/>
        <v>66</v>
      </c>
      <c r="K208" s="449">
        <f t="shared" si="219"/>
        <v>66</v>
      </c>
      <c r="L208" s="449">
        <f t="shared" si="219"/>
        <v>66</v>
      </c>
      <c r="M208" s="449">
        <f t="shared" si="219"/>
        <v>198</v>
      </c>
      <c r="N208" s="449">
        <f t="shared" si="219"/>
        <v>198</v>
      </c>
      <c r="O208" s="449">
        <f t="shared" si="219"/>
        <v>198</v>
      </c>
      <c r="P208" s="449">
        <f t="shared" si="219"/>
        <v>198</v>
      </c>
      <c r="Q208" s="449">
        <f t="shared" si="219"/>
        <v>198</v>
      </c>
      <c r="R208" s="449">
        <f t="shared" si="219"/>
        <v>198</v>
      </c>
      <c r="S208" s="449">
        <f t="shared" si="219"/>
        <v>198</v>
      </c>
      <c r="T208" s="449">
        <f t="shared" si="219"/>
        <v>198</v>
      </c>
      <c r="U208" s="449">
        <f t="shared" si="219"/>
        <v>198</v>
      </c>
      <c r="V208" s="449">
        <f t="shared" si="219"/>
        <v>198</v>
      </c>
      <c r="W208" s="449">
        <f t="shared" si="219"/>
        <v>198</v>
      </c>
      <c r="X208" s="449">
        <f t="shared" si="219"/>
        <v>198</v>
      </c>
      <c r="Y208" s="449">
        <f t="shared" si="219"/>
        <v>198</v>
      </c>
      <c r="Z208" s="449">
        <f t="shared" si="219"/>
        <v>198</v>
      </c>
      <c r="AA208" s="449">
        <f t="shared" si="219"/>
        <v>198</v>
      </c>
    </row>
    <row r="209" spans="2:27" ht="15" customHeight="1" outlineLevel="1">
      <c r="B209" s="132" t="s">
        <v>78</v>
      </c>
      <c r="D209" s="400"/>
      <c r="E209" s="399"/>
      <c r="G209" s="399">
        <f>Inputs!$L$35</f>
        <v>3300</v>
      </c>
      <c r="H209" s="405">
        <f>H207-H208</f>
        <v>3234</v>
      </c>
      <c r="I209" s="405">
        <f t="shared" ref="I209:AA209" si="220">I207-I208</f>
        <v>3168</v>
      </c>
      <c r="J209" s="405">
        <f t="shared" si="220"/>
        <v>3102</v>
      </c>
      <c r="K209" s="405">
        <f t="shared" si="220"/>
        <v>3036</v>
      </c>
      <c r="L209" s="405">
        <f t="shared" si="220"/>
        <v>2970</v>
      </c>
      <c r="M209" s="405">
        <f t="shared" si="220"/>
        <v>2772</v>
      </c>
      <c r="N209" s="405">
        <f t="shared" si="220"/>
        <v>2574</v>
      </c>
      <c r="O209" s="405">
        <f t="shared" si="220"/>
        <v>2376</v>
      </c>
      <c r="P209" s="405">
        <f t="shared" si="220"/>
        <v>2178</v>
      </c>
      <c r="Q209" s="405">
        <f t="shared" si="220"/>
        <v>1980</v>
      </c>
      <c r="R209" s="405">
        <f t="shared" si="220"/>
        <v>1782</v>
      </c>
      <c r="S209" s="405">
        <f t="shared" si="220"/>
        <v>1584</v>
      </c>
      <c r="T209" s="405">
        <f t="shared" si="220"/>
        <v>1386</v>
      </c>
      <c r="U209" s="405">
        <f t="shared" si="220"/>
        <v>1188</v>
      </c>
      <c r="V209" s="405">
        <f t="shared" si="220"/>
        <v>990</v>
      </c>
      <c r="W209" s="405">
        <f t="shared" si="220"/>
        <v>792</v>
      </c>
      <c r="X209" s="405">
        <f t="shared" si="220"/>
        <v>594</v>
      </c>
      <c r="Y209" s="405">
        <f t="shared" si="220"/>
        <v>396</v>
      </c>
      <c r="Z209" s="405">
        <f t="shared" si="220"/>
        <v>198</v>
      </c>
      <c r="AA209" s="405">
        <f t="shared" si="220"/>
        <v>0</v>
      </c>
    </row>
    <row r="210" spans="2:27" ht="15" customHeight="1" outlineLevel="1">
      <c r="B210" s="446"/>
      <c r="D210" s="400"/>
      <c r="E210" s="399"/>
      <c r="G210" s="399"/>
      <c r="H210" s="405"/>
      <c r="I210" s="401"/>
      <c r="J210" s="402"/>
      <c r="K210" s="402"/>
      <c r="L210" s="406"/>
      <c r="M210" s="406"/>
      <c r="N210" s="406"/>
      <c r="O210" s="406"/>
    </row>
    <row r="211" spans="2:27" ht="15" customHeight="1" outlineLevel="1">
      <c r="B211" s="222" t="s">
        <v>200</v>
      </c>
      <c r="D211" s="400"/>
      <c r="E211" s="399"/>
      <c r="F211" s="399"/>
      <c r="G211" s="399"/>
      <c r="H211" s="452">
        <f>Inputs!$F$150</f>
        <v>0.05</v>
      </c>
      <c r="I211" s="452">
        <f>Inputs!$F$150</f>
        <v>0.05</v>
      </c>
      <c r="J211" s="452">
        <f>Inputs!$F$150</f>
        <v>0.05</v>
      </c>
      <c r="K211" s="452">
        <f>Inputs!$F$150</f>
        <v>0.05</v>
      </c>
      <c r="L211" s="452">
        <f>Inputs!$F$150</f>
        <v>0.05</v>
      </c>
      <c r="M211" s="452">
        <f>Inputs!$F$150</f>
        <v>0.05</v>
      </c>
      <c r="N211" s="452">
        <f>Inputs!$F$150</f>
        <v>0.05</v>
      </c>
      <c r="O211" s="452">
        <f>Inputs!$F$150</f>
        <v>0.05</v>
      </c>
      <c r="P211" s="452">
        <f>Inputs!$F$150</f>
        <v>0.05</v>
      </c>
      <c r="Q211" s="452">
        <f>Inputs!$F$150</f>
        <v>0.05</v>
      </c>
      <c r="R211" s="452">
        <f>Inputs!$F$150</f>
        <v>0.05</v>
      </c>
      <c r="S211" s="452">
        <f>Inputs!$F$150</f>
        <v>0.05</v>
      </c>
      <c r="T211" s="452">
        <f>Inputs!$F$150</f>
        <v>0.05</v>
      </c>
      <c r="U211" s="452">
        <f>Inputs!$F$150</f>
        <v>0.05</v>
      </c>
      <c r="V211" s="452">
        <f>Inputs!$F$150</f>
        <v>0.05</v>
      </c>
      <c r="W211" s="452">
        <f>Inputs!$F$150</f>
        <v>0.05</v>
      </c>
      <c r="X211" s="452">
        <f>Inputs!$F$150</f>
        <v>0.05</v>
      </c>
      <c r="Y211" s="452">
        <f>Inputs!$F$150</f>
        <v>0.05</v>
      </c>
      <c r="Z211" s="452">
        <f>Inputs!$F$150</f>
        <v>0.05</v>
      </c>
      <c r="AA211" s="452">
        <f>Inputs!$F$150</f>
        <v>0.05</v>
      </c>
    </row>
    <row r="212" spans="2:27" ht="15" customHeight="1" outlineLevel="1">
      <c r="B212" s="222" t="s">
        <v>72</v>
      </c>
      <c r="D212" s="400"/>
      <c r="E212" s="399"/>
      <c r="G212" s="399"/>
      <c r="H212" s="453">
        <f>H207*H211</f>
        <v>165</v>
      </c>
      <c r="I212" s="453">
        <f t="shared" ref="I212:Z212" si="221">I207*I211</f>
        <v>161.70000000000002</v>
      </c>
      <c r="J212" s="453">
        <f t="shared" si="221"/>
        <v>158.4</v>
      </c>
      <c r="K212" s="453">
        <f t="shared" si="221"/>
        <v>155.10000000000002</v>
      </c>
      <c r="L212" s="453">
        <f t="shared" si="221"/>
        <v>151.80000000000001</v>
      </c>
      <c r="M212" s="453">
        <f t="shared" si="221"/>
        <v>148.5</v>
      </c>
      <c r="N212" s="453">
        <f t="shared" si="221"/>
        <v>138.6</v>
      </c>
      <c r="O212" s="453">
        <f t="shared" si="221"/>
        <v>128.70000000000002</v>
      </c>
      <c r="P212" s="453">
        <f t="shared" si="221"/>
        <v>118.80000000000001</v>
      </c>
      <c r="Q212" s="453">
        <f t="shared" si="221"/>
        <v>108.9</v>
      </c>
      <c r="R212" s="453">
        <f t="shared" si="221"/>
        <v>99</v>
      </c>
      <c r="S212" s="453">
        <f t="shared" si="221"/>
        <v>89.100000000000009</v>
      </c>
      <c r="T212" s="453">
        <f t="shared" si="221"/>
        <v>79.2</v>
      </c>
      <c r="U212" s="453">
        <f t="shared" si="221"/>
        <v>69.3</v>
      </c>
      <c r="V212" s="453">
        <f t="shared" si="221"/>
        <v>59.400000000000006</v>
      </c>
      <c r="W212" s="453">
        <f t="shared" si="221"/>
        <v>49.5</v>
      </c>
      <c r="X212" s="453">
        <f t="shared" si="221"/>
        <v>39.6</v>
      </c>
      <c r="Y212" s="453">
        <f t="shared" si="221"/>
        <v>29.700000000000003</v>
      </c>
      <c r="Z212" s="453">
        <f t="shared" si="221"/>
        <v>19.8</v>
      </c>
      <c r="AA212" s="453">
        <f>AA207*AA211</f>
        <v>9.9</v>
      </c>
    </row>
    <row r="213" spans="2:27" ht="15" customHeight="1" outlineLevel="1">
      <c r="B213" s="408"/>
      <c r="C213" s="399"/>
      <c r="D213" s="400"/>
      <c r="E213" s="399"/>
      <c r="G213" s="399"/>
      <c r="H213" s="405"/>
      <c r="I213" s="401"/>
      <c r="J213" s="402"/>
      <c r="K213" s="402"/>
      <c r="L213" s="406"/>
      <c r="M213" s="406"/>
      <c r="N213" s="406"/>
      <c r="O213" s="406"/>
    </row>
    <row r="214" spans="2:27" ht="15" customHeight="1" outlineLevel="1"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</row>
    <row r="215" spans="2:27" ht="15" customHeight="1" outlineLevel="1">
      <c r="B215" s="408"/>
      <c r="C215" s="399"/>
      <c r="D215" s="400"/>
      <c r="E215" s="399"/>
      <c r="G215" s="399"/>
      <c r="H215" s="405"/>
      <c r="I215" s="401"/>
      <c r="J215" s="402"/>
      <c r="K215" s="402"/>
      <c r="L215" s="402"/>
      <c r="M215" s="402"/>
      <c r="N215" s="402"/>
      <c r="O215" s="402"/>
    </row>
    <row r="216" spans="2:27" ht="15" customHeight="1" outlineLevel="1">
      <c r="B216" s="404" t="s">
        <v>193</v>
      </c>
      <c r="C216" s="405"/>
      <c r="E216" s="405"/>
      <c r="G216" s="405"/>
      <c r="H216" s="405"/>
      <c r="I216" s="402"/>
      <c r="J216" s="402"/>
      <c r="K216" s="402"/>
      <c r="L216" s="406"/>
      <c r="M216" s="406"/>
      <c r="N216" s="406"/>
      <c r="O216" s="406"/>
    </row>
    <row r="217" spans="2:27" ht="15" customHeight="1" outlineLevel="1">
      <c r="B217" s="458" t="s">
        <v>215</v>
      </c>
      <c r="C217" s="164"/>
      <c r="E217" s="407"/>
      <c r="G217" s="407"/>
    </row>
    <row r="218" spans="2:27" ht="15" customHeight="1" outlineLevel="1">
      <c r="B218" s="132" t="s">
        <v>199</v>
      </c>
      <c r="C218" s="164"/>
      <c r="D218" s="409"/>
      <c r="E218" s="405"/>
      <c r="G218" s="407"/>
      <c r="H218" s="457">
        <v>0.05</v>
      </c>
      <c r="I218" s="457">
        <v>0.05</v>
      </c>
      <c r="J218" s="457">
        <v>0.05</v>
      </c>
      <c r="K218" s="457">
        <v>0.05</v>
      </c>
      <c r="L218" s="457">
        <v>0.05</v>
      </c>
      <c r="M218" s="457">
        <v>0.05</v>
      </c>
      <c r="N218" s="457">
        <v>0.05</v>
      </c>
      <c r="O218" s="457">
        <v>0.05</v>
      </c>
      <c r="P218" s="457">
        <v>0.05</v>
      </c>
      <c r="Q218" s="457">
        <v>0.05</v>
      </c>
      <c r="R218" s="457">
        <v>0.05</v>
      </c>
      <c r="S218" s="457">
        <v>0.05</v>
      </c>
      <c r="T218" s="457">
        <v>0.05</v>
      </c>
      <c r="U218" s="457">
        <v>0.05</v>
      </c>
      <c r="V218" s="457">
        <v>0.05</v>
      </c>
      <c r="W218" s="457">
        <v>0.05</v>
      </c>
      <c r="X218" s="457">
        <v>0.05</v>
      </c>
      <c r="Y218" s="457">
        <v>0.05</v>
      </c>
      <c r="Z218" s="457">
        <v>0.05</v>
      </c>
      <c r="AA218" s="457">
        <v>0.05</v>
      </c>
    </row>
    <row r="219" spans="2:27" ht="15" customHeight="1" outlineLevel="1">
      <c r="B219" s="132" t="s">
        <v>79</v>
      </c>
      <c r="C219" s="164"/>
      <c r="D219" s="409"/>
      <c r="E219" s="405"/>
      <c r="G219" s="407"/>
      <c r="H219" s="405">
        <f>G221</f>
        <v>1800</v>
      </c>
      <c r="I219" s="405">
        <f t="shared" ref="I219:AA219" si="222">H221</f>
        <v>1710</v>
      </c>
      <c r="J219" s="405">
        <f t="shared" si="222"/>
        <v>1620</v>
      </c>
      <c r="K219" s="405">
        <f t="shared" si="222"/>
        <v>1530</v>
      </c>
      <c r="L219" s="405">
        <f t="shared" si="222"/>
        <v>1440</v>
      </c>
      <c r="M219" s="405">
        <f t="shared" si="222"/>
        <v>1350</v>
      </c>
      <c r="N219" s="405">
        <f t="shared" si="222"/>
        <v>1260</v>
      </c>
      <c r="O219" s="405">
        <f t="shared" si="222"/>
        <v>1170</v>
      </c>
      <c r="P219" s="405">
        <f t="shared" si="222"/>
        <v>1080</v>
      </c>
      <c r="Q219" s="405">
        <f t="shared" si="222"/>
        <v>990</v>
      </c>
      <c r="R219" s="405">
        <f t="shared" si="222"/>
        <v>900</v>
      </c>
      <c r="S219" s="405">
        <f t="shared" si="222"/>
        <v>810</v>
      </c>
      <c r="T219" s="405">
        <f t="shared" si="222"/>
        <v>720</v>
      </c>
      <c r="U219" s="405">
        <f t="shared" si="222"/>
        <v>630</v>
      </c>
      <c r="V219" s="405">
        <f t="shared" si="222"/>
        <v>540</v>
      </c>
      <c r="W219" s="405">
        <f t="shared" si="222"/>
        <v>450</v>
      </c>
      <c r="X219" s="405">
        <f t="shared" si="222"/>
        <v>360</v>
      </c>
      <c r="Y219" s="405">
        <f t="shared" si="222"/>
        <v>270</v>
      </c>
      <c r="Z219" s="405">
        <f t="shared" si="222"/>
        <v>180</v>
      </c>
      <c r="AA219" s="405">
        <f t="shared" si="222"/>
        <v>90</v>
      </c>
    </row>
    <row r="220" spans="2:27" ht="15" customHeight="1" outlineLevel="1">
      <c r="B220" s="222" t="s">
        <v>222</v>
      </c>
      <c r="C220" s="164"/>
      <c r="E220" s="407"/>
      <c r="G220" s="407"/>
      <c r="H220" s="456">
        <f t="shared" ref="H220:AA220" si="223">H218*$G$221</f>
        <v>90</v>
      </c>
      <c r="I220" s="456">
        <f t="shared" si="223"/>
        <v>90</v>
      </c>
      <c r="J220" s="456">
        <f t="shared" si="223"/>
        <v>90</v>
      </c>
      <c r="K220" s="456">
        <f t="shared" si="223"/>
        <v>90</v>
      </c>
      <c r="L220" s="456">
        <f t="shared" si="223"/>
        <v>90</v>
      </c>
      <c r="M220" s="456">
        <f t="shared" si="223"/>
        <v>90</v>
      </c>
      <c r="N220" s="456">
        <f t="shared" si="223"/>
        <v>90</v>
      </c>
      <c r="O220" s="456">
        <f t="shared" si="223"/>
        <v>90</v>
      </c>
      <c r="P220" s="456">
        <f t="shared" si="223"/>
        <v>90</v>
      </c>
      <c r="Q220" s="456">
        <f t="shared" si="223"/>
        <v>90</v>
      </c>
      <c r="R220" s="456">
        <f t="shared" si="223"/>
        <v>90</v>
      </c>
      <c r="S220" s="456">
        <f t="shared" si="223"/>
        <v>90</v>
      </c>
      <c r="T220" s="456">
        <f t="shared" si="223"/>
        <v>90</v>
      </c>
      <c r="U220" s="456">
        <f t="shared" si="223"/>
        <v>90</v>
      </c>
      <c r="V220" s="456">
        <f t="shared" si="223"/>
        <v>90</v>
      </c>
      <c r="W220" s="456">
        <f t="shared" si="223"/>
        <v>90</v>
      </c>
      <c r="X220" s="456">
        <f t="shared" si="223"/>
        <v>90</v>
      </c>
      <c r="Y220" s="456">
        <f t="shared" si="223"/>
        <v>90</v>
      </c>
      <c r="Z220" s="456">
        <f t="shared" si="223"/>
        <v>90</v>
      </c>
      <c r="AA220" s="456">
        <f t="shared" si="223"/>
        <v>90</v>
      </c>
    </row>
    <row r="221" spans="2:27" ht="15" customHeight="1" outlineLevel="1">
      <c r="B221" s="132" t="s">
        <v>78</v>
      </c>
      <c r="C221" s="164"/>
      <c r="E221" s="399"/>
      <c r="G221" s="461">
        <f>(Inputs!$F$37)*Inputs!$K$35</f>
        <v>1800</v>
      </c>
      <c r="H221" s="405">
        <f>H219-H220</f>
        <v>1710</v>
      </c>
      <c r="I221" s="405">
        <f t="shared" ref="I221:AA221" si="224">I219-I220</f>
        <v>1620</v>
      </c>
      <c r="J221" s="405">
        <f t="shared" si="224"/>
        <v>1530</v>
      </c>
      <c r="K221" s="405">
        <f t="shared" si="224"/>
        <v>1440</v>
      </c>
      <c r="L221" s="405">
        <f t="shared" si="224"/>
        <v>1350</v>
      </c>
      <c r="M221" s="405">
        <f t="shared" si="224"/>
        <v>1260</v>
      </c>
      <c r="N221" s="405">
        <f t="shared" si="224"/>
        <v>1170</v>
      </c>
      <c r="O221" s="405">
        <f t="shared" si="224"/>
        <v>1080</v>
      </c>
      <c r="P221" s="405">
        <f t="shared" si="224"/>
        <v>990</v>
      </c>
      <c r="Q221" s="405">
        <f t="shared" si="224"/>
        <v>900</v>
      </c>
      <c r="R221" s="405">
        <f t="shared" si="224"/>
        <v>810</v>
      </c>
      <c r="S221" s="405">
        <f t="shared" si="224"/>
        <v>720</v>
      </c>
      <c r="T221" s="405">
        <f t="shared" si="224"/>
        <v>630</v>
      </c>
      <c r="U221" s="405">
        <f t="shared" si="224"/>
        <v>540</v>
      </c>
      <c r="V221" s="405">
        <f t="shared" si="224"/>
        <v>450</v>
      </c>
      <c r="W221" s="405">
        <f t="shared" si="224"/>
        <v>360</v>
      </c>
      <c r="X221" s="405">
        <f t="shared" si="224"/>
        <v>270</v>
      </c>
      <c r="Y221" s="405">
        <f t="shared" si="224"/>
        <v>180</v>
      </c>
      <c r="Z221" s="405">
        <f t="shared" si="224"/>
        <v>90</v>
      </c>
      <c r="AA221" s="405">
        <f t="shared" si="224"/>
        <v>0</v>
      </c>
    </row>
    <row r="222" spans="2:27" ht="15" customHeight="1" outlineLevel="1">
      <c r="B222" s="446"/>
      <c r="C222" s="164"/>
      <c r="E222" s="399"/>
      <c r="G222" s="407"/>
      <c r="H222" s="454"/>
      <c r="I222" s="401"/>
      <c r="J222" s="402"/>
      <c r="K222" s="402"/>
      <c r="L222" s="402"/>
      <c r="M222" s="402"/>
      <c r="N222" s="402"/>
      <c r="O222" s="402"/>
    </row>
    <row r="223" spans="2:27" ht="15" customHeight="1" outlineLevel="1">
      <c r="B223" s="222" t="s">
        <v>200</v>
      </c>
      <c r="C223" s="164"/>
      <c r="E223" s="399"/>
      <c r="G223" s="407"/>
      <c r="H223" s="459">
        <f>Inputs!$F$151</f>
        <v>0.06</v>
      </c>
      <c r="I223" s="459">
        <f>Inputs!$F$151</f>
        <v>0.06</v>
      </c>
      <c r="J223" s="459">
        <f>Inputs!$F$151</f>
        <v>0.06</v>
      </c>
      <c r="K223" s="459">
        <f>Inputs!$F$151</f>
        <v>0.06</v>
      </c>
      <c r="L223" s="459">
        <f>Inputs!$F$151</f>
        <v>0.06</v>
      </c>
      <c r="M223" s="459">
        <f>Inputs!$F$151</f>
        <v>0.06</v>
      </c>
      <c r="N223" s="459">
        <f>Inputs!$F$151</f>
        <v>0.06</v>
      </c>
      <c r="O223" s="459">
        <f>Inputs!$F$151</f>
        <v>0.06</v>
      </c>
      <c r="P223" s="459">
        <f>Inputs!$F$151</f>
        <v>0.06</v>
      </c>
      <c r="Q223" s="459">
        <f>Inputs!$F$151</f>
        <v>0.06</v>
      </c>
      <c r="R223" s="459">
        <f>Inputs!$F$151</f>
        <v>0.06</v>
      </c>
      <c r="S223" s="459">
        <f>Inputs!$F$151</f>
        <v>0.06</v>
      </c>
      <c r="T223" s="459">
        <f>Inputs!$F$151</f>
        <v>0.06</v>
      </c>
      <c r="U223" s="459">
        <f>Inputs!$F$151</f>
        <v>0.06</v>
      </c>
      <c r="V223" s="459">
        <f>Inputs!$F$151</f>
        <v>0.06</v>
      </c>
      <c r="W223" s="459">
        <f>Inputs!$F$151</f>
        <v>0.06</v>
      </c>
      <c r="X223" s="459">
        <f>Inputs!$F$151</f>
        <v>0.06</v>
      </c>
      <c r="Y223" s="459">
        <f>Inputs!$F$151</f>
        <v>0.06</v>
      </c>
      <c r="Z223" s="459">
        <f>Inputs!$F$151</f>
        <v>0.06</v>
      </c>
      <c r="AA223" s="459">
        <f>Inputs!$F$151</f>
        <v>0.06</v>
      </c>
    </row>
    <row r="224" spans="2:27" ht="15" customHeight="1" outlineLevel="1">
      <c r="B224" s="222" t="s">
        <v>217</v>
      </c>
      <c r="C224" s="68"/>
      <c r="D224" s="68"/>
      <c r="E224" s="399"/>
      <c r="G224" s="407"/>
      <c r="H224" s="453">
        <f>H219*H223</f>
        <v>108</v>
      </c>
      <c r="I224" s="453">
        <f t="shared" ref="I224:AA224" si="225">I219*I223</f>
        <v>102.6</v>
      </c>
      <c r="J224" s="453">
        <f t="shared" si="225"/>
        <v>97.2</v>
      </c>
      <c r="K224" s="453">
        <f t="shared" si="225"/>
        <v>91.8</v>
      </c>
      <c r="L224" s="453">
        <f t="shared" si="225"/>
        <v>86.399999999999991</v>
      </c>
      <c r="M224" s="453">
        <f t="shared" si="225"/>
        <v>81</v>
      </c>
      <c r="N224" s="453">
        <f t="shared" si="225"/>
        <v>75.599999999999994</v>
      </c>
      <c r="O224" s="453">
        <f t="shared" si="225"/>
        <v>70.2</v>
      </c>
      <c r="P224" s="453">
        <f t="shared" si="225"/>
        <v>64.8</v>
      </c>
      <c r="Q224" s="453">
        <f t="shared" si="225"/>
        <v>59.4</v>
      </c>
      <c r="R224" s="453">
        <f t="shared" si="225"/>
        <v>54</v>
      </c>
      <c r="S224" s="453">
        <f t="shared" si="225"/>
        <v>48.6</v>
      </c>
      <c r="T224" s="453">
        <f t="shared" si="225"/>
        <v>43.199999999999996</v>
      </c>
      <c r="U224" s="453">
        <f t="shared" si="225"/>
        <v>37.799999999999997</v>
      </c>
      <c r="V224" s="453">
        <f t="shared" si="225"/>
        <v>32.4</v>
      </c>
      <c r="W224" s="453">
        <f t="shared" si="225"/>
        <v>27</v>
      </c>
      <c r="X224" s="453">
        <f t="shared" si="225"/>
        <v>21.599999999999998</v>
      </c>
      <c r="Y224" s="453">
        <f t="shared" si="225"/>
        <v>16.2</v>
      </c>
      <c r="Z224" s="453">
        <f t="shared" si="225"/>
        <v>10.799999999999999</v>
      </c>
      <c r="AA224" s="453">
        <f t="shared" si="225"/>
        <v>5.3999999999999995</v>
      </c>
    </row>
    <row r="225" spans="2:27" ht="15" customHeight="1" outlineLevel="1">
      <c r="C225" s="455"/>
      <c r="D225" s="400"/>
      <c r="E225" s="399"/>
      <c r="G225" s="407"/>
      <c r="H225" s="405"/>
      <c r="I225" s="401"/>
      <c r="J225" s="402"/>
      <c r="K225" s="402"/>
      <c r="L225" s="402"/>
      <c r="M225" s="402"/>
      <c r="N225" s="402"/>
      <c r="O225" s="402"/>
    </row>
    <row r="226" spans="2:27" ht="15" customHeight="1" outlineLevel="1">
      <c r="B226" s="458" t="s">
        <v>216</v>
      </c>
      <c r="C226" s="164"/>
      <c r="E226" s="407"/>
      <c r="G226" s="407"/>
    </row>
    <row r="227" spans="2:27" ht="15" customHeight="1" outlineLevel="1">
      <c r="B227" s="132" t="s">
        <v>199</v>
      </c>
      <c r="C227" s="164"/>
      <c r="D227" s="409"/>
      <c r="E227" s="405"/>
      <c r="G227" s="399"/>
      <c r="H227" s="457"/>
      <c r="I227" s="457"/>
      <c r="J227" s="457"/>
      <c r="K227" s="457">
        <f>100%/17</f>
        <v>5.8823529411764705E-2</v>
      </c>
      <c r="L227" s="457">
        <f t="shared" ref="L227:AA227" si="226">100%/17</f>
        <v>5.8823529411764705E-2</v>
      </c>
      <c r="M227" s="457">
        <f t="shared" si="226"/>
        <v>5.8823529411764705E-2</v>
      </c>
      <c r="N227" s="457">
        <f t="shared" si="226"/>
        <v>5.8823529411764705E-2</v>
      </c>
      <c r="O227" s="457">
        <f t="shared" si="226"/>
        <v>5.8823529411764705E-2</v>
      </c>
      <c r="P227" s="457">
        <f t="shared" si="226"/>
        <v>5.8823529411764705E-2</v>
      </c>
      <c r="Q227" s="457">
        <f t="shared" si="226"/>
        <v>5.8823529411764705E-2</v>
      </c>
      <c r="R227" s="457">
        <f t="shared" si="226"/>
        <v>5.8823529411764705E-2</v>
      </c>
      <c r="S227" s="457">
        <f t="shared" si="226"/>
        <v>5.8823529411764705E-2</v>
      </c>
      <c r="T227" s="457">
        <f t="shared" si="226"/>
        <v>5.8823529411764705E-2</v>
      </c>
      <c r="U227" s="457">
        <f t="shared" si="226"/>
        <v>5.8823529411764705E-2</v>
      </c>
      <c r="V227" s="457">
        <f t="shared" si="226"/>
        <v>5.8823529411764705E-2</v>
      </c>
      <c r="W227" s="457">
        <f t="shared" si="226"/>
        <v>5.8823529411764705E-2</v>
      </c>
      <c r="X227" s="457">
        <f t="shared" si="226"/>
        <v>5.8823529411764705E-2</v>
      </c>
      <c r="Y227" s="457">
        <f t="shared" si="226"/>
        <v>5.8823529411764705E-2</v>
      </c>
      <c r="Z227" s="457">
        <f t="shared" si="226"/>
        <v>5.8823529411764705E-2</v>
      </c>
      <c r="AA227" s="457">
        <f t="shared" si="226"/>
        <v>5.8823529411764705E-2</v>
      </c>
    </row>
    <row r="228" spans="2:27" ht="15" customHeight="1" outlineLevel="1">
      <c r="B228" s="222" t="s">
        <v>79</v>
      </c>
      <c r="C228" s="164"/>
      <c r="D228" s="409"/>
      <c r="E228" s="405"/>
      <c r="G228" s="399"/>
      <c r="H228" s="399"/>
      <c r="I228" s="399"/>
      <c r="J228" s="399"/>
      <c r="K228" s="405">
        <f t="shared" ref="K228:AA228" si="227">J230</f>
        <v>1500</v>
      </c>
      <c r="L228" s="405">
        <f t="shared" si="227"/>
        <v>1411.7647058823529</v>
      </c>
      <c r="M228" s="405">
        <f t="shared" si="227"/>
        <v>1323.5294117647059</v>
      </c>
      <c r="N228" s="405">
        <f t="shared" si="227"/>
        <v>1235.2941176470588</v>
      </c>
      <c r="O228" s="405">
        <f t="shared" si="227"/>
        <v>1147.0588235294117</v>
      </c>
      <c r="P228" s="405">
        <f t="shared" si="227"/>
        <v>1058.8235294117646</v>
      </c>
      <c r="Q228" s="405">
        <f t="shared" si="227"/>
        <v>970.58823529411757</v>
      </c>
      <c r="R228" s="405">
        <f t="shared" si="227"/>
        <v>882.35294117647049</v>
      </c>
      <c r="S228" s="405">
        <f t="shared" si="227"/>
        <v>794.11764705882342</v>
      </c>
      <c r="T228" s="405">
        <f t="shared" si="227"/>
        <v>705.88235294117635</v>
      </c>
      <c r="U228" s="405">
        <f t="shared" si="227"/>
        <v>617.64705882352928</v>
      </c>
      <c r="V228" s="405">
        <f t="shared" si="227"/>
        <v>529.41176470588221</v>
      </c>
      <c r="W228" s="405">
        <f t="shared" si="227"/>
        <v>441.17647058823513</v>
      </c>
      <c r="X228" s="405">
        <f t="shared" si="227"/>
        <v>352.94117647058806</v>
      </c>
      <c r="Y228" s="405">
        <f t="shared" si="227"/>
        <v>264.70588235294099</v>
      </c>
      <c r="Z228" s="405">
        <f t="shared" si="227"/>
        <v>176.47058823529392</v>
      </c>
      <c r="AA228" s="405">
        <f t="shared" si="227"/>
        <v>88.235294117646859</v>
      </c>
    </row>
    <row r="229" spans="2:27" ht="15" customHeight="1" outlineLevel="1">
      <c r="B229" s="222" t="s">
        <v>222</v>
      </c>
      <c r="C229" s="164"/>
      <c r="E229" s="407"/>
      <c r="G229" s="399"/>
      <c r="H229" s="399"/>
      <c r="I229" s="399"/>
      <c r="J229" s="399"/>
      <c r="K229" s="456">
        <f>$J$230*K227</f>
        <v>88.235294117647058</v>
      </c>
      <c r="L229" s="456">
        <f t="shared" ref="L229:AA229" si="228">$J$230*L227</f>
        <v>88.235294117647058</v>
      </c>
      <c r="M229" s="456">
        <f t="shared" si="228"/>
        <v>88.235294117647058</v>
      </c>
      <c r="N229" s="456">
        <f t="shared" si="228"/>
        <v>88.235294117647058</v>
      </c>
      <c r="O229" s="456">
        <f t="shared" si="228"/>
        <v>88.235294117647058</v>
      </c>
      <c r="P229" s="456">
        <f t="shared" si="228"/>
        <v>88.235294117647058</v>
      </c>
      <c r="Q229" s="456">
        <f t="shared" si="228"/>
        <v>88.235294117647058</v>
      </c>
      <c r="R229" s="456">
        <f t="shared" si="228"/>
        <v>88.235294117647058</v>
      </c>
      <c r="S229" s="456">
        <f t="shared" si="228"/>
        <v>88.235294117647058</v>
      </c>
      <c r="T229" s="456">
        <f t="shared" si="228"/>
        <v>88.235294117647058</v>
      </c>
      <c r="U229" s="456">
        <f t="shared" si="228"/>
        <v>88.235294117647058</v>
      </c>
      <c r="V229" s="456">
        <f t="shared" si="228"/>
        <v>88.235294117647058</v>
      </c>
      <c r="W229" s="456">
        <f t="shared" si="228"/>
        <v>88.235294117647058</v>
      </c>
      <c r="X229" s="456">
        <f t="shared" si="228"/>
        <v>88.235294117647058</v>
      </c>
      <c r="Y229" s="456">
        <f t="shared" si="228"/>
        <v>88.235294117647058</v>
      </c>
      <c r="Z229" s="456">
        <f t="shared" si="228"/>
        <v>88.235294117647058</v>
      </c>
      <c r="AA229" s="456">
        <f t="shared" si="228"/>
        <v>88.235294117647058</v>
      </c>
    </row>
    <row r="230" spans="2:27" ht="15" customHeight="1" outlineLevel="1">
      <c r="B230" s="132" t="s">
        <v>78</v>
      </c>
      <c r="C230" s="164"/>
      <c r="E230" s="399"/>
      <c r="G230" s="399"/>
      <c r="H230" s="399"/>
      <c r="I230" s="399"/>
      <c r="J230" s="399">
        <f>(Inputs!$F$38)*Inputs!$K$35</f>
        <v>1500</v>
      </c>
      <c r="K230" s="405">
        <f>K228-K229</f>
        <v>1411.7647058823529</v>
      </c>
      <c r="L230" s="405">
        <f>L228-L229</f>
        <v>1323.5294117647059</v>
      </c>
      <c r="M230" s="405">
        <f>M228-M229</f>
        <v>1235.2941176470588</v>
      </c>
      <c r="N230" s="405">
        <f t="shared" ref="N230" si="229">N228-N229</f>
        <v>1147.0588235294117</v>
      </c>
      <c r="O230" s="405">
        <f t="shared" ref="O230" si="230">O228-O229</f>
        <v>1058.8235294117646</v>
      </c>
      <c r="P230" s="405">
        <f>P228-P229</f>
        <v>970.58823529411757</v>
      </c>
      <c r="Q230" s="405">
        <f t="shared" ref="Q230" si="231">Q228-Q229</f>
        <v>882.35294117647049</v>
      </c>
      <c r="R230" s="405">
        <f t="shared" ref="R230" si="232">R228-R229</f>
        <v>794.11764705882342</v>
      </c>
      <c r="S230" s="405">
        <f>S228-S229</f>
        <v>705.88235294117635</v>
      </c>
      <c r="T230" s="405">
        <f t="shared" ref="T230" si="233">T228-T229</f>
        <v>617.64705882352928</v>
      </c>
      <c r="U230" s="405">
        <f t="shared" ref="U230" si="234">U228-U229</f>
        <v>529.41176470588221</v>
      </c>
      <c r="V230" s="405">
        <f t="shared" ref="V230" si="235">V228-V229</f>
        <v>441.17647058823513</v>
      </c>
      <c r="W230" s="405">
        <f t="shared" ref="W230" si="236">W228-W229</f>
        <v>352.94117647058806</v>
      </c>
      <c r="X230" s="405">
        <f t="shared" ref="X230" si="237">X228-X229</f>
        <v>264.70588235294099</v>
      </c>
      <c r="Y230" s="405">
        <f>Y228-Y229</f>
        <v>176.47058823529392</v>
      </c>
      <c r="Z230" s="405">
        <f t="shared" ref="Z230" si="238">Z228-Z229</f>
        <v>88.235294117646859</v>
      </c>
      <c r="AA230" s="405">
        <f t="shared" ref="AA230" si="239">AA228-AA229</f>
        <v>-1.9895196601282805E-13</v>
      </c>
    </row>
    <row r="231" spans="2:27" ht="15" customHeight="1" outlineLevel="1">
      <c r="B231" s="446"/>
      <c r="C231" s="164"/>
      <c r="E231" s="399"/>
      <c r="G231" s="399"/>
      <c r="H231" s="454"/>
      <c r="I231" s="401"/>
      <c r="J231" s="402"/>
      <c r="K231" s="402"/>
      <c r="L231" s="402"/>
      <c r="M231" s="402"/>
      <c r="N231" s="402"/>
      <c r="O231" s="402"/>
    </row>
    <row r="232" spans="2:27" ht="15" customHeight="1" outlineLevel="1">
      <c r="B232" s="222" t="s">
        <v>200</v>
      </c>
      <c r="C232" s="164"/>
      <c r="E232" s="399"/>
      <c r="G232" s="399"/>
      <c r="H232" s="460"/>
      <c r="I232" s="460"/>
      <c r="J232" s="460"/>
      <c r="K232" s="459">
        <f>Inputs!$F$151</f>
        <v>0.06</v>
      </c>
      <c r="L232" s="459">
        <f>Inputs!$F$151</f>
        <v>0.06</v>
      </c>
      <c r="M232" s="459">
        <f>Inputs!$F$151</f>
        <v>0.06</v>
      </c>
      <c r="N232" s="459">
        <f>Inputs!$F$151</f>
        <v>0.06</v>
      </c>
      <c r="O232" s="459">
        <f>Inputs!$F$151</f>
        <v>0.06</v>
      </c>
      <c r="P232" s="459">
        <f>Inputs!$F$151</f>
        <v>0.06</v>
      </c>
      <c r="Q232" s="459">
        <f>Inputs!$F$151</f>
        <v>0.06</v>
      </c>
      <c r="R232" s="459">
        <f>Inputs!$F$151</f>
        <v>0.06</v>
      </c>
      <c r="S232" s="459">
        <f>Inputs!$F$151</f>
        <v>0.06</v>
      </c>
      <c r="T232" s="459">
        <f>Inputs!$F$151</f>
        <v>0.06</v>
      </c>
      <c r="U232" s="459">
        <f>Inputs!$F$151</f>
        <v>0.06</v>
      </c>
      <c r="V232" s="459">
        <f>Inputs!$F$151</f>
        <v>0.06</v>
      </c>
      <c r="W232" s="459">
        <f>Inputs!$F$151</f>
        <v>0.06</v>
      </c>
      <c r="X232" s="459">
        <f>Inputs!$F$151</f>
        <v>0.06</v>
      </c>
      <c r="Y232" s="459">
        <f>Inputs!$F$151</f>
        <v>0.06</v>
      </c>
      <c r="Z232" s="459">
        <f>Inputs!$F$151</f>
        <v>0.06</v>
      </c>
      <c r="AA232" s="459">
        <f>Inputs!$F$151</f>
        <v>0.06</v>
      </c>
    </row>
    <row r="233" spans="2:27" ht="15" customHeight="1" outlineLevel="1">
      <c r="B233" s="222" t="s">
        <v>218</v>
      </c>
      <c r="C233" s="68"/>
      <c r="D233" s="68"/>
      <c r="E233" s="399"/>
      <c r="G233" s="399"/>
      <c r="H233" s="453"/>
      <c r="I233" s="453"/>
      <c r="J233" s="453"/>
      <c r="K233" s="453">
        <f t="shared" ref="K233" si="240">K228*K232</f>
        <v>90</v>
      </c>
      <c r="L233" s="453">
        <f t="shared" ref="L233" si="241">L228*L232</f>
        <v>84.705882352941174</v>
      </c>
      <c r="M233" s="453">
        <f t="shared" ref="M233" si="242">M228*M232</f>
        <v>79.411764705882348</v>
      </c>
      <c r="N233" s="453">
        <f t="shared" ref="N233" si="243">N228*N232</f>
        <v>74.117647058823522</v>
      </c>
      <c r="O233" s="453">
        <f t="shared" ref="O233" si="244">O228*O232</f>
        <v>68.823529411764696</v>
      </c>
      <c r="P233" s="453">
        <f t="shared" ref="P233" si="245">P228*P232</f>
        <v>63.529411764705877</v>
      </c>
      <c r="Q233" s="453">
        <f t="shared" ref="Q233" si="246">Q228*Q232</f>
        <v>58.235294117647051</v>
      </c>
      <c r="R233" s="453">
        <f t="shared" ref="R233" si="247">R228*R232</f>
        <v>52.941176470588225</v>
      </c>
      <c r="S233" s="453">
        <f t="shared" ref="S233" si="248">S228*S232</f>
        <v>47.647058823529406</v>
      </c>
      <c r="T233" s="453">
        <f t="shared" ref="T233" si="249">T228*T232</f>
        <v>42.35294117647058</v>
      </c>
      <c r="U233" s="453">
        <f t="shared" ref="U233" si="250">U228*U232</f>
        <v>37.058823529411754</v>
      </c>
      <c r="V233" s="453">
        <f t="shared" ref="V233" si="251">V228*V232</f>
        <v>31.764705882352931</v>
      </c>
      <c r="W233" s="453">
        <f t="shared" ref="W233" si="252">W228*W232</f>
        <v>26.470588235294105</v>
      </c>
      <c r="X233" s="453">
        <f t="shared" ref="X233" si="253">X228*X232</f>
        <v>21.176470588235283</v>
      </c>
      <c r="Y233" s="453">
        <f t="shared" ref="Y233" si="254">Y228*Y232</f>
        <v>15.882352941176459</v>
      </c>
      <c r="Z233" s="453">
        <f t="shared" ref="Z233" si="255">Z228*Z232</f>
        <v>10.588235294117634</v>
      </c>
      <c r="AA233" s="453">
        <f t="shared" ref="AA233" si="256">AA228*AA232</f>
        <v>5.2941176470588109</v>
      </c>
    </row>
    <row r="234" spans="2:27" ht="15" customHeight="1" outlineLevel="1"/>
    <row r="235" spans="2:27" ht="15" customHeight="1" outlineLevel="1"/>
    <row r="236" spans="2:27" ht="15" customHeight="1" outlineLevel="1">
      <c r="B236" s="458" t="s">
        <v>72</v>
      </c>
      <c r="H236" s="462" cm="1">
        <f t="array" ref="H236">INDEX(H238:H239,Inputs!$D$139)</f>
        <v>108</v>
      </c>
      <c r="I236" s="463" cm="1">
        <f t="array" ref="I236">INDEX(I238:I239,Inputs!$D$139)</f>
        <v>102.6</v>
      </c>
      <c r="J236" s="463" cm="1">
        <f t="array" ref="J236">INDEX(J238:J239,Inputs!$D$139)</f>
        <v>97.2</v>
      </c>
      <c r="K236" s="463" cm="1">
        <f t="array" ref="K236">INDEX(K238:K239,Inputs!$D$139)</f>
        <v>181.8</v>
      </c>
      <c r="L236" s="463" cm="1">
        <f t="array" ref="L236">INDEX(L238:L239,Inputs!$D$139)</f>
        <v>171.10588235294117</v>
      </c>
      <c r="M236" s="463" cm="1">
        <f t="array" ref="M236">INDEX(M238:M239,Inputs!$D$139)</f>
        <v>160.41176470588235</v>
      </c>
      <c r="N236" s="463" cm="1">
        <f t="array" ref="N236">INDEX(N238:N239,Inputs!$D$139)</f>
        <v>149.7176470588235</v>
      </c>
      <c r="O236" s="463" cm="1">
        <f t="array" ref="O236">INDEX(O238:O239,Inputs!$D$139)</f>
        <v>139.02352941176468</v>
      </c>
      <c r="P236" s="463" cm="1">
        <f t="array" ref="P236">INDEX(P238:P239,Inputs!$D$139)</f>
        <v>128.32941176470587</v>
      </c>
      <c r="Q236" s="463" cm="1">
        <f t="array" ref="Q236">INDEX(Q238:Q239,Inputs!$D$139)</f>
        <v>117.63529411764705</v>
      </c>
      <c r="R236" s="463" cm="1">
        <f t="array" ref="R236">INDEX(R238:R239,Inputs!$D$139)</f>
        <v>106.94117647058823</v>
      </c>
      <c r="S236" s="463" cm="1">
        <f t="array" ref="S236">INDEX(S238:S239,Inputs!$D$139)</f>
        <v>96.247058823529414</v>
      </c>
      <c r="T236" s="463" cm="1">
        <f t="array" ref="T236">INDEX(T238:T239,Inputs!$D$139)</f>
        <v>85.552941176470569</v>
      </c>
      <c r="U236" s="463" cm="1">
        <f t="array" ref="U236">INDEX(U238:U239,Inputs!$D$139)</f>
        <v>74.858823529411751</v>
      </c>
      <c r="V236" s="463" cm="1">
        <f t="array" ref="V236">INDEX(V238:V239,Inputs!$D$139)</f>
        <v>64.164705882352933</v>
      </c>
      <c r="W236" s="463" cm="1">
        <f t="array" ref="W236">INDEX(W238:W239,Inputs!$D$139)</f>
        <v>53.470588235294102</v>
      </c>
      <c r="X236" s="463" cm="1">
        <f t="array" ref="X236">INDEX(X238:X239,Inputs!$D$139)</f>
        <v>42.776470588235284</v>
      </c>
      <c r="Y236" s="463" cm="1">
        <f t="array" ref="Y236">INDEX(Y238:Y239,Inputs!$D$139)</f>
        <v>32.08235294117646</v>
      </c>
      <c r="Z236" s="463" cm="1">
        <f t="array" ref="Z236">INDEX(Z238:Z239,Inputs!$D$139)</f>
        <v>21.388235294117635</v>
      </c>
      <c r="AA236" s="464" cm="1">
        <f t="array" ref="AA236">INDEX(AA238:AA239,Inputs!$D$139)</f>
        <v>10.69411764705881</v>
      </c>
    </row>
    <row r="237" spans="2:27" ht="15" customHeight="1" outlineLevel="1"/>
    <row r="238" spans="2:27" ht="15" customHeight="1" outlineLevel="1">
      <c r="B238" s="222" t="s">
        <v>220</v>
      </c>
      <c r="H238" s="465">
        <f>H212</f>
        <v>165</v>
      </c>
      <c r="I238" s="466">
        <f t="shared" ref="I238:AA238" si="257">I212</f>
        <v>161.70000000000002</v>
      </c>
      <c r="J238" s="466">
        <f t="shared" si="257"/>
        <v>158.4</v>
      </c>
      <c r="K238" s="466">
        <f t="shared" si="257"/>
        <v>155.10000000000002</v>
      </c>
      <c r="L238" s="466">
        <f t="shared" si="257"/>
        <v>151.80000000000001</v>
      </c>
      <c r="M238" s="466">
        <f t="shared" si="257"/>
        <v>148.5</v>
      </c>
      <c r="N238" s="466">
        <f t="shared" si="257"/>
        <v>138.6</v>
      </c>
      <c r="O238" s="466">
        <f t="shared" si="257"/>
        <v>128.70000000000002</v>
      </c>
      <c r="P238" s="466">
        <f t="shared" si="257"/>
        <v>118.80000000000001</v>
      </c>
      <c r="Q238" s="466">
        <f t="shared" si="257"/>
        <v>108.9</v>
      </c>
      <c r="R238" s="466">
        <f t="shared" si="257"/>
        <v>99</v>
      </c>
      <c r="S238" s="466">
        <f t="shared" si="257"/>
        <v>89.100000000000009</v>
      </c>
      <c r="T238" s="466">
        <f t="shared" si="257"/>
        <v>79.2</v>
      </c>
      <c r="U238" s="466">
        <f t="shared" si="257"/>
        <v>69.3</v>
      </c>
      <c r="V238" s="466">
        <f t="shared" si="257"/>
        <v>59.400000000000006</v>
      </c>
      <c r="W238" s="466">
        <f t="shared" si="257"/>
        <v>49.5</v>
      </c>
      <c r="X238" s="466">
        <f t="shared" si="257"/>
        <v>39.6</v>
      </c>
      <c r="Y238" s="466">
        <f t="shared" si="257"/>
        <v>29.700000000000003</v>
      </c>
      <c r="Z238" s="466">
        <f t="shared" si="257"/>
        <v>19.8</v>
      </c>
      <c r="AA238" s="467">
        <f t="shared" si="257"/>
        <v>9.9</v>
      </c>
    </row>
    <row r="239" spans="2:27" ht="15" customHeight="1" outlineLevel="1">
      <c r="B239" s="222" t="s">
        <v>219</v>
      </c>
      <c r="H239" s="468">
        <f>H224+H233</f>
        <v>108</v>
      </c>
      <c r="I239" s="469">
        <f t="shared" ref="I239:AA239" si="258">I224+I233</f>
        <v>102.6</v>
      </c>
      <c r="J239" s="469">
        <f t="shared" si="258"/>
        <v>97.2</v>
      </c>
      <c r="K239" s="469">
        <f t="shared" si="258"/>
        <v>181.8</v>
      </c>
      <c r="L239" s="469">
        <f t="shared" si="258"/>
        <v>171.10588235294117</v>
      </c>
      <c r="M239" s="469">
        <f t="shared" si="258"/>
        <v>160.41176470588235</v>
      </c>
      <c r="N239" s="469">
        <f t="shared" si="258"/>
        <v>149.7176470588235</v>
      </c>
      <c r="O239" s="469">
        <f t="shared" si="258"/>
        <v>139.02352941176468</v>
      </c>
      <c r="P239" s="469">
        <f t="shared" si="258"/>
        <v>128.32941176470587</v>
      </c>
      <c r="Q239" s="469">
        <f t="shared" si="258"/>
        <v>117.63529411764705</v>
      </c>
      <c r="R239" s="469">
        <f t="shared" si="258"/>
        <v>106.94117647058823</v>
      </c>
      <c r="S239" s="469">
        <f t="shared" si="258"/>
        <v>96.247058823529414</v>
      </c>
      <c r="T239" s="469">
        <f t="shared" si="258"/>
        <v>85.552941176470569</v>
      </c>
      <c r="U239" s="469">
        <f t="shared" si="258"/>
        <v>74.858823529411751</v>
      </c>
      <c r="V239" s="469">
        <f t="shared" si="258"/>
        <v>64.164705882352933</v>
      </c>
      <c r="W239" s="469">
        <f t="shared" si="258"/>
        <v>53.470588235294102</v>
      </c>
      <c r="X239" s="469">
        <f t="shared" si="258"/>
        <v>42.776470588235284</v>
      </c>
      <c r="Y239" s="469">
        <f t="shared" si="258"/>
        <v>32.08235294117646</v>
      </c>
      <c r="Z239" s="469">
        <f t="shared" si="258"/>
        <v>21.388235294117635</v>
      </c>
      <c r="AA239" s="470">
        <f t="shared" si="258"/>
        <v>10.69411764705881</v>
      </c>
    </row>
    <row r="240" spans="2:27" ht="15" customHeight="1" outlineLevel="1"/>
    <row r="241" spans="1:27" ht="15" customHeight="1" outlineLevel="1">
      <c r="B241" s="458" t="s">
        <v>223</v>
      </c>
      <c r="H241" s="462" cm="1">
        <f t="array" ref="H241">INDEX(H243:H244,Inputs!$D$139)</f>
        <v>90</v>
      </c>
      <c r="I241" s="463" cm="1">
        <f t="array" ref="I241">INDEX(I243:I244,Inputs!$D$139)</f>
        <v>90</v>
      </c>
      <c r="J241" s="463" cm="1">
        <f t="array" ref="J241">INDEX(J243:J244,Inputs!$D$139)</f>
        <v>90</v>
      </c>
      <c r="K241" s="463" cm="1">
        <f t="array" ref="K241">INDEX(K243:K244,Inputs!$D$139)</f>
        <v>178.23529411764707</v>
      </c>
      <c r="L241" s="463" cm="1">
        <f t="array" ref="L241">INDEX(L243:L244,Inputs!$D$139)</f>
        <v>178.23529411764707</v>
      </c>
      <c r="M241" s="463" cm="1">
        <f t="array" ref="M241">INDEX(M243:M244,Inputs!$D$139)</f>
        <v>178.23529411764707</v>
      </c>
      <c r="N241" s="463" cm="1">
        <f t="array" ref="N241">INDEX(N243:N244,Inputs!$D$139)</f>
        <v>178.23529411764707</v>
      </c>
      <c r="O241" s="463" cm="1">
        <f t="array" ref="O241">INDEX(O243:O244,Inputs!$D$139)</f>
        <v>178.23529411764707</v>
      </c>
      <c r="P241" s="463" cm="1">
        <f t="array" ref="P241">INDEX(P243:P244,Inputs!$D$139)</f>
        <v>178.23529411764707</v>
      </c>
      <c r="Q241" s="463" cm="1">
        <f t="array" ref="Q241">INDEX(Q243:Q244,Inputs!$D$139)</f>
        <v>178.23529411764707</v>
      </c>
      <c r="R241" s="463" cm="1">
        <f t="array" ref="R241">INDEX(R243:R244,Inputs!$D$139)</f>
        <v>178.23529411764707</v>
      </c>
      <c r="S241" s="463" cm="1">
        <f t="array" ref="S241">INDEX(S243:S244,Inputs!$D$139)</f>
        <v>178.23529411764707</v>
      </c>
      <c r="T241" s="463" cm="1">
        <f t="array" ref="T241">INDEX(T243:T244,Inputs!$D$139)</f>
        <v>178.23529411764707</v>
      </c>
      <c r="U241" s="463" cm="1">
        <f t="array" ref="U241">INDEX(U243:U244,Inputs!$D$139)</f>
        <v>178.23529411764707</v>
      </c>
      <c r="V241" s="463" cm="1">
        <f t="array" ref="V241">INDEX(V243:V244,Inputs!$D$139)</f>
        <v>178.23529411764707</v>
      </c>
      <c r="W241" s="463" cm="1">
        <f t="array" ref="W241">INDEX(W243:W244,Inputs!$D$139)</f>
        <v>178.23529411764707</v>
      </c>
      <c r="X241" s="463" cm="1">
        <f t="array" ref="X241">INDEX(X243:X244,Inputs!$D$139)</f>
        <v>178.23529411764707</v>
      </c>
      <c r="Y241" s="463" cm="1">
        <f t="array" ref="Y241">INDEX(Y243:Y244,Inputs!$D$139)</f>
        <v>178.23529411764707</v>
      </c>
      <c r="Z241" s="463" cm="1">
        <f t="array" ref="Z241">INDEX(Z243:Z244,Inputs!$D$139)</f>
        <v>178.23529411764707</v>
      </c>
      <c r="AA241" s="464" cm="1">
        <f t="array" ref="AA241">INDEX(AA243:AA244,Inputs!$D$139)</f>
        <v>178.23529411764707</v>
      </c>
    </row>
    <row r="242" spans="1:27" ht="15" customHeight="1" outlineLevel="1">
      <c r="B242" s="458"/>
    </row>
    <row r="243" spans="1:27" ht="15" customHeight="1" outlineLevel="1">
      <c r="B243" s="222" t="s">
        <v>220</v>
      </c>
      <c r="H243" s="465">
        <f>H208</f>
        <v>66</v>
      </c>
      <c r="I243" s="466">
        <f t="shared" ref="I243:AA243" si="259">I208</f>
        <v>66</v>
      </c>
      <c r="J243" s="466">
        <f t="shared" si="259"/>
        <v>66</v>
      </c>
      <c r="K243" s="466">
        <f t="shared" si="259"/>
        <v>66</v>
      </c>
      <c r="L243" s="466">
        <f t="shared" si="259"/>
        <v>66</v>
      </c>
      <c r="M243" s="466">
        <f t="shared" si="259"/>
        <v>198</v>
      </c>
      <c r="N243" s="466">
        <f t="shared" si="259"/>
        <v>198</v>
      </c>
      <c r="O243" s="466">
        <f t="shared" si="259"/>
        <v>198</v>
      </c>
      <c r="P243" s="466">
        <f t="shared" si="259"/>
        <v>198</v>
      </c>
      <c r="Q243" s="466">
        <f t="shared" si="259"/>
        <v>198</v>
      </c>
      <c r="R243" s="466">
        <f t="shared" si="259"/>
        <v>198</v>
      </c>
      <c r="S243" s="466">
        <f t="shared" si="259"/>
        <v>198</v>
      </c>
      <c r="T243" s="466">
        <f t="shared" si="259"/>
        <v>198</v>
      </c>
      <c r="U243" s="466">
        <f t="shared" si="259"/>
        <v>198</v>
      </c>
      <c r="V243" s="466">
        <f t="shared" si="259"/>
        <v>198</v>
      </c>
      <c r="W243" s="466">
        <f t="shared" si="259"/>
        <v>198</v>
      </c>
      <c r="X243" s="466">
        <f t="shared" si="259"/>
        <v>198</v>
      </c>
      <c r="Y243" s="466">
        <f t="shared" si="259"/>
        <v>198</v>
      </c>
      <c r="Z243" s="466">
        <f t="shared" si="259"/>
        <v>198</v>
      </c>
      <c r="AA243" s="467">
        <f t="shared" si="259"/>
        <v>198</v>
      </c>
    </row>
    <row r="244" spans="1:27" ht="15" customHeight="1" outlineLevel="1">
      <c r="B244" s="222" t="s">
        <v>219</v>
      </c>
      <c r="H244" s="468">
        <f>H220+H229</f>
        <v>90</v>
      </c>
      <c r="I244" s="469">
        <f t="shared" ref="I244:AA244" si="260">I220+I229</f>
        <v>90</v>
      </c>
      <c r="J244" s="469">
        <f t="shared" si="260"/>
        <v>90</v>
      </c>
      <c r="K244" s="469">
        <f t="shared" si="260"/>
        <v>178.23529411764707</v>
      </c>
      <c r="L244" s="469">
        <f t="shared" si="260"/>
        <v>178.23529411764707</v>
      </c>
      <c r="M244" s="469">
        <f t="shared" si="260"/>
        <v>178.23529411764707</v>
      </c>
      <c r="N244" s="469">
        <f t="shared" si="260"/>
        <v>178.23529411764707</v>
      </c>
      <c r="O244" s="469">
        <f t="shared" si="260"/>
        <v>178.23529411764707</v>
      </c>
      <c r="P244" s="469">
        <f t="shared" si="260"/>
        <v>178.23529411764707</v>
      </c>
      <c r="Q244" s="469">
        <f t="shared" si="260"/>
        <v>178.23529411764707</v>
      </c>
      <c r="R244" s="469">
        <f t="shared" si="260"/>
        <v>178.23529411764707</v>
      </c>
      <c r="S244" s="469">
        <f t="shared" si="260"/>
        <v>178.23529411764707</v>
      </c>
      <c r="T244" s="469">
        <f t="shared" si="260"/>
        <v>178.23529411764707</v>
      </c>
      <c r="U244" s="469">
        <f t="shared" si="260"/>
        <v>178.23529411764707</v>
      </c>
      <c r="V244" s="469">
        <f t="shared" si="260"/>
        <v>178.23529411764707</v>
      </c>
      <c r="W244" s="469">
        <f t="shared" si="260"/>
        <v>178.23529411764707</v>
      </c>
      <c r="X244" s="469">
        <f t="shared" si="260"/>
        <v>178.23529411764707</v>
      </c>
      <c r="Y244" s="469">
        <f t="shared" si="260"/>
        <v>178.23529411764707</v>
      </c>
      <c r="Z244" s="469">
        <f t="shared" si="260"/>
        <v>178.23529411764707</v>
      </c>
      <c r="AA244" s="470">
        <f t="shared" si="260"/>
        <v>178.23529411764707</v>
      </c>
    </row>
    <row r="245" spans="1:27" ht="15" customHeight="1" outlineLevel="1"/>
    <row r="246" spans="1:27" ht="15" customHeight="1" outlineLevel="1">
      <c r="B246" s="458" t="s">
        <v>221</v>
      </c>
      <c r="H246" s="462" cm="1">
        <f t="array" ref="H246">INDEX(H248:H249,Inputs!$D$139)</f>
        <v>1710</v>
      </c>
      <c r="I246" s="463" cm="1">
        <f t="array" ref="I246">INDEX(I248:I249,Inputs!$D$139)</f>
        <v>1620</v>
      </c>
      <c r="J246" s="463" cm="1">
        <f t="array" ref="J246">INDEX(J248:J249,Inputs!$D$139)</f>
        <v>3030</v>
      </c>
      <c r="K246" s="463" cm="1">
        <f t="array" ref="K246">INDEX(K248:K249,Inputs!$D$139)</f>
        <v>2851.7647058823532</v>
      </c>
      <c r="L246" s="463" cm="1">
        <f t="array" ref="L246">INDEX(L248:L249,Inputs!$D$139)</f>
        <v>2673.5294117647059</v>
      </c>
      <c r="M246" s="463" cm="1">
        <f t="array" ref="M246">INDEX(M248:M249,Inputs!$D$139)</f>
        <v>2495.2941176470586</v>
      </c>
      <c r="N246" s="463" cm="1">
        <f t="array" ref="N246">INDEX(N248:N249,Inputs!$D$139)</f>
        <v>2317.0588235294117</v>
      </c>
      <c r="O246" s="463" cm="1">
        <f t="array" ref="O246">INDEX(O248:O249,Inputs!$D$139)</f>
        <v>2138.8235294117649</v>
      </c>
      <c r="P246" s="463" cm="1">
        <f t="array" ref="P246">INDEX(P248:P249,Inputs!$D$139)</f>
        <v>1960.5882352941176</v>
      </c>
      <c r="Q246" s="463" cm="1">
        <f t="array" ref="Q246">INDEX(Q248:Q249,Inputs!$D$139)</f>
        <v>1782.3529411764705</v>
      </c>
      <c r="R246" s="463" cm="1">
        <f t="array" ref="R246">INDEX(R248:R249,Inputs!$D$139)</f>
        <v>1604.1176470588234</v>
      </c>
      <c r="S246" s="463" cm="1">
        <f t="array" ref="S246">INDEX(S248:S249,Inputs!$D$139)</f>
        <v>1425.8823529411764</v>
      </c>
      <c r="T246" s="463" cm="1">
        <f t="array" ref="T246">INDEX(T248:T249,Inputs!$D$139)</f>
        <v>1247.6470588235293</v>
      </c>
      <c r="U246" s="463" cm="1">
        <f t="array" ref="U246">INDEX(U248:U249,Inputs!$D$139)</f>
        <v>1069.4117647058822</v>
      </c>
      <c r="V246" s="463" cm="1">
        <f t="array" ref="V246">INDEX(V248:V249,Inputs!$D$139)</f>
        <v>891.17647058823513</v>
      </c>
      <c r="W246" s="463" cm="1">
        <f t="array" ref="W246">INDEX(W248:W249,Inputs!$D$139)</f>
        <v>712.94117647058806</v>
      </c>
      <c r="X246" s="463" cm="1">
        <f t="array" ref="X246">INDEX(X248:X249,Inputs!$D$139)</f>
        <v>534.70588235294099</v>
      </c>
      <c r="Y246" s="463" cm="1">
        <f t="array" ref="Y246">INDEX(Y248:Y249,Inputs!$D$139)</f>
        <v>356.47058823529392</v>
      </c>
      <c r="Z246" s="463" cm="1">
        <f t="array" ref="Z246">INDEX(Z248:Z249,Inputs!$D$139)</f>
        <v>178.23529411764684</v>
      </c>
      <c r="AA246" s="464" cm="1">
        <f t="array" ref="AA246">INDEX(AA248:AA249,Inputs!$D$139)</f>
        <v>-1.9895196601282805E-13</v>
      </c>
    </row>
    <row r="247" spans="1:27" ht="15" customHeight="1" outlineLevel="1">
      <c r="B247" s="458"/>
    </row>
    <row r="248" spans="1:27" ht="15" customHeight="1" outlineLevel="1">
      <c r="B248" s="222" t="s">
        <v>315</v>
      </c>
      <c r="H248" s="465">
        <f>H209</f>
        <v>3234</v>
      </c>
      <c r="I248" s="466">
        <f t="shared" ref="I248:AA248" si="261">I209</f>
        <v>3168</v>
      </c>
      <c r="J248" s="466">
        <f t="shared" si="261"/>
        <v>3102</v>
      </c>
      <c r="K248" s="466">
        <f t="shared" si="261"/>
        <v>3036</v>
      </c>
      <c r="L248" s="466">
        <f t="shared" si="261"/>
        <v>2970</v>
      </c>
      <c r="M248" s="466">
        <f t="shared" si="261"/>
        <v>2772</v>
      </c>
      <c r="N248" s="466">
        <f t="shared" si="261"/>
        <v>2574</v>
      </c>
      <c r="O248" s="466">
        <f t="shared" si="261"/>
        <v>2376</v>
      </c>
      <c r="P248" s="466">
        <f t="shared" si="261"/>
        <v>2178</v>
      </c>
      <c r="Q248" s="466">
        <f t="shared" si="261"/>
        <v>1980</v>
      </c>
      <c r="R248" s="466">
        <f t="shared" si="261"/>
        <v>1782</v>
      </c>
      <c r="S248" s="466">
        <f t="shared" si="261"/>
        <v>1584</v>
      </c>
      <c r="T248" s="466">
        <f t="shared" si="261"/>
        <v>1386</v>
      </c>
      <c r="U248" s="466">
        <f t="shared" si="261"/>
        <v>1188</v>
      </c>
      <c r="V248" s="466">
        <f t="shared" si="261"/>
        <v>990</v>
      </c>
      <c r="W248" s="466">
        <f t="shared" si="261"/>
        <v>792</v>
      </c>
      <c r="X248" s="466">
        <f t="shared" si="261"/>
        <v>594</v>
      </c>
      <c r="Y248" s="466">
        <f t="shared" si="261"/>
        <v>396</v>
      </c>
      <c r="Z248" s="466">
        <f t="shared" si="261"/>
        <v>198</v>
      </c>
      <c r="AA248" s="467">
        <f t="shared" si="261"/>
        <v>0</v>
      </c>
    </row>
    <row r="249" spans="1:27" ht="15" customHeight="1" outlineLevel="1">
      <c r="B249" s="222" t="s">
        <v>316</v>
      </c>
      <c r="H249" s="468">
        <f>H221+H230</f>
        <v>1710</v>
      </c>
      <c r="I249" s="469">
        <f t="shared" ref="I249:AA249" si="262">I221+I230</f>
        <v>1620</v>
      </c>
      <c r="J249" s="469">
        <f t="shared" si="262"/>
        <v>3030</v>
      </c>
      <c r="K249" s="469">
        <f t="shared" si="262"/>
        <v>2851.7647058823532</v>
      </c>
      <c r="L249" s="469">
        <f t="shared" si="262"/>
        <v>2673.5294117647059</v>
      </c>
      <c r="M249" s="469">
        <f t="shared" si="262"/>
        <v>2495.2941176470586</v>
      </c>
      <c r="N249" s="469">
        <f t="shared" si="262"/>
        <v>2317.0588235294117</v>
      </c>
      <c r="O249" s="469">
        <f t="shared" si="262"/>
        <v>2138.8235294117649</v>
      </c>
      <c r="P249" s="469">
        <f t="shared" si="262"/>
        <v>1960.5882352941176</v>
      </c>
      <c r="Q249" s="469">
        <f t="shared" si="262"/>
        <v>1782.3529411764705</v>
      </c>
      <c r="R249" s="469">
        <f t="shared" si="262"/>
        <v>1604.1176470588234</v>
      </c>
      <c r="S249" s="469">
        <f t="shared" si="262"/>
        <v>1425.8823529411764</v>
      </c>
      <c r="T249" s="469">
        <f t="shared" si="262"/>
        <v>1247.6470588235293</v>
      </c>
      <c r="U249" s="469">
        <f t="shared" si="262"/>
        <v>1069.4117647058822</v>
      </c>
      <c r="V249" s="469">
        <f t="shared" si="262"/>
        <v>891.17647058823513</v>
      </c>
      <c r="W249" s="469">
        <f t="shared" si="262"/>
        <v>712.94117647058806</v>
      </c>
      <c r="X249" s="469">
        <f t="shared" si="262"/>
        <v>534.70588235294099</v>
      </c>
      <c r="Y249" s="469">
        <f t="shared" si="262"/>
        <v>356.47058823529392</v>
      </c>
      <c r="Z249" s="469">
        <f t="shared" si="262"/>
        <v>178.23529411764684</v>
      </c>
      <c r="AA249" s="470">
        <f t="shared" si="262"/>
        <v>-1.9895196601282805E-13</v>
      </c>
    </row>
    <row r="250" spans="1:27" ht="15" customHeight="1" outlineLevel="1"/>
    <row r="251" spans="1:27" ht="15" customHeight="1" outlineLevel="1"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</row>
    <row r="253" spans="1:27" ht="15" customHeight="1" outlineLevel="1">
      <c r="A253" s="8" t="s">
        <v>0</v>
      </c>
      <c r="B253" s="108" t="s">
        <v>225</v>
      </c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</row>
    <row r="254" spans="1:27" ht="15" customHeight="1" outlineLevel="1">
      <c r="B254" s="395"/>
      <c r="C254" s="396"/>
      <c r="D254" s="397"/>
      <c r="E254" s="445"/>
      <c r="F254" s="445"/>
      <c r="G254" s="445"/>
      <c r="H254" s="445"/>
      <c r="I254" s="445"/>
      <c r="J254" s="445"/>
      <c r="K254" s="445"/>
      <c r="L254" s="445"/>
      <c r="M254" s="445"/>
      <c r="N254" s="445"/>
      <c r="O254" s="445"/>
    </row>
    <row r="255" spans="1:27" ht="15" customHeight="1" outlineLevel="1">
      <c r="B255" s="86" t="s">
        <v>134</v>
      </c>
      <c r="C255" s="396"/>
      <c r="D255" s="398"/>
      <c r="E255" s="398"/>
      <c r="F255" s="398"/>
      <c r="G255" s="398"/>
      <c r="H255" s="101"/>
      <c r="I255" s="96"/>
      <c r="J255" s="398"/>
      <c r="K255" s="100"/>
      <c r="L255" s="100"/>
      <c r="M255" s="100"/>
      <c r="N255" s="100"/>
      <c r="O255" s="100"/>
    </row>
    <row r="256" spans="1:27" ht="15" customHeight="1" outlineLevel="1" thickBot="1">
      <c r="B256" s="86" t="str" cm="1">
        <f t="array" ref="B256">CONCATENATE("Model Drivers: ",INDEX(Inputs!$B$96:$B$98,Inputs!$D$86)," &amp; ",INDEX(Inputs!$B$143:$B$144,Inputs!$D$139)," Financing")</f>
        <v>Model Drivers: Base Case &amp; Two Phased  Financing</v>
      </c>
      <c r="C256" s="396"/>
      <c r="D256" s="398"/>
      <c r="E256" s="398"/>
      <c r="F256" s="245">
        <v>2025</v>
      </c>
      <c r="G256" s="245">
        <v>2026</v>
      </c>
      <c r="H256" s="316">
        <f>Inputs!$F$8</f>
        <v>2027</v>
      </c>
      <c r="I256" s="316">
        <f>H256+1</f>
        <v>2028</v>
      </c>
      <c r="J256" s="316">
        <f t="shared" ref="J256" si="263">I256+1</f>
        <v>2029</v>
      </c>
      <c r="K256" s="317">
        <f t="shared" ref="K256" si="264">J256+1</f>
        <v>2030</v>
      </c>
      <c r="L256" s="317">
        <f t="shared" ref="L256" si="265">K256+1</f>
        <v>2031</v>
      </c>
      <c r="M256" s="317">
        <f t="shared" ref="M256" si="266">L256+1</f>
        <v>2032</v>
      </c>
      <c r="N256" s="317">
        <f t="shared" ref="N256" si="267">M256+1</f>
        <v>2033</v>
      </c>
      <c r="O256" s="317">
        <f t="shared" ref="O256" si="268">N256+1</f>
        <v>2034</v>
      </c>
      <c r="P256" s="317">
        <f t="shared" ref="P256" si="269">O256+1</f>
        <v>2035</v>
      </c>
      <c r="Q256" s="317">
        <f t="shared" ref="Q256" si="270">P256+1</f>
        <v>2036</v>
      </c>
      <c r="R256" s="317">
        <f t="shared" ref="R256" si="271">Q256+1</f>
        <v>2037</v>
      </c>
      <c r="S256" s="317">
        <f t="shared" ref="S256" si="272">R256+1</f>
        <v>2038</v>
      </c>
      <c r="T256" s="317">
        <f t="shared" ref="T256" si="273">S256+1</f>
        <v>2039</v>
      </c>
      <c r="U256" s="317">
        <f t="shared" ref="U256" si="274">T256+1</f>
        <v>2040</v>
      </c>
      <c r="V256" s="317">
        <f>U256+1</f>
        <v>2041</v>
      </c>
      <c r="W256" s="317">
        <f t="shared" ref="W256" si="275">V256+1</f>
        <v>2042</v>
      </c>
      <c r="X256" s="317">
        <f t="shared" ref="X256" si="276">W256+1</f>
        <v>2043</v>
      </c>
      <c r="Y256" s="317">
        <f t="shared" ref="Y256" si="277">X256+1</f>
        <v>2044</v>
      </c>
      <c r="Z256" s="317">
        <f t="shared" ref="Z256" si="278">Y256+1</f>
        <v>2045</v>
      </c>
      <c r="AA256" s="317">
        <f t="shared" ref="AA256" si="279">Z256+1</f>
        <v>2046</v>
      </c>
    </row>
    <row r="257" spans="2:27" ht="15" customHeight="1" outlineLevel="1">
      <c r="B257" s="86"/>
      <c r="C257" s="396"/>
      <c r="D257" s="398"/>
      <c r="E257" s="398"/>
      <c r="F257" s="398"/>
      <c r="G257" s="398"/>
      <c r="H257" s="101"/>
      <c r="I257" s="96"/>
      <c r="J257" s="398"/>
      <c r="K257" s="100"/>
      <c r="L257" s="100"/>
      <c r="M257" s="100"/>
      <c r="N257" s="100"/>
      <c r="O257" s="100"/>
    </row>
    <row r="258" spans="2:27" ht="15" customHeight="1" outlineLevel="1">
      <c r="B258" s="259"/>
      <c r="C258" s="447"/>
      <c r="D258" s="447"/>
      <c r="E258" s="39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</row>
    <row r="259" spans="2:27" s="478" customFormat="1" ht="15" customHeight="1" outlineLevel="1">
      <c r="B259" s="479" t="s">
        <v>227</v>
      </c>
      <c r="H259" s="480">
        <f>H264/H265</f>
        <v>1.7492787762701834</v>
      </c>
      <c r="I259" s="481">
        <f t="shared" ref="I259:AA259" si="280">I264/I265</f>
        <v>2.1445744529494868</v>
      </c>
      <c r="J259" s="481">
        <f t="shared" si="280"/>
        <v>2.6930179811818724</v>
      </c>
      <c r="K259" s="481">
        <f t="shared" si="280"/>
        <v>2.1632266839043055</v>
      </c>
      <c r="L259" s="481">
        <f t="shared" si="280"/>
        <v>2.9112373627575052</v>
      </c>
      <c r="M259" s="481">
        <f t="shared" si="280"/>
        <v>3.3119763862245968</v>
      </c>
      <c r="N259" s="481">
        <f t="shared" si="280"/>
        <v>3.5966293780408751</v>
      </c>
      <c r="O259" s="481">
        <f t="shared" si="280"/>
        <v>3.7718958849406539</v>
      </c>
      <c r="P259" s="481">
        <f t="shared" si="280"/>
        <v>3.9582467995032293</v>
      </c>
      <c r="Q259" s="481">
        <f t="shared" si="280"/>
        <v>4.1588383609361479</v>
      </c>
      <c r="R259" s="481">
        <f t="shared" si="280"/>
        <v>4.3665337723087836</v>
      </c>
      <c r="S259" s="481">
        <f t="shared" si="280"/>
        <v>4.5794052102550884</v>
      </c>
      <c r="T259" s="481">
        <f t="shared" si="280"/>
        <v>4.807260012950568</v>
      </c>
      <c r="U259" s="481">
        <f t="shared" si="280"/>
        <v>5.0544360426320551</v>
      </c>
      <c r="V259" s="481">
        <f t="shared" si="280"/>
        <v>5.3234783006075288</v>
      </c>
      <c r="W259" s="481">
        <f t="shared" si="280"/>
        <v>5.6174011513279982</v>
      </c>
      <c r="X259" s="481">
        <f t="shared" si="280"/>
        <v>5.9398018640365855</v>
      </c>
      <c r="Y259" s="481">
        <f t="shared" si="280"/>
        <v>6.2950087938852954</v>
      </c>
      <c r="Z259" s="481">
        <f t="shared" si="280"/>
        <v>6.6882771923114044</v>
      </c>
      <c r="AA259" s="482">
        <f t="shared" si="280"/>
        <v>7.126051518634803</v>
      </c>
    </row>
    <row r="260" spans="2:27" s="478" customFormat="1" ht="15" customHeight="1" outlineLevel="1">
      <c r="B260" s="479"/>
      <c r="H260" s="483"/>
      <c r="I260" s="483"/>
      <c r="J260" s="483"/>
      <c r="K260" s="483"/>
      <c r="L260" s="483"/>
      <c r="M260" s="483"/>
      <c r="N260" s="483"/>
      <c r="O260" s="483"/>
      <c r="P260" s="483"/>
      <c r="Q260" s="483"/>
      <c r="R260" s="483"/>
      <c r="S260" s="483"/>
      <c r="T260" s="483"/>
      <c r="U260" s="483"/>
      <c r="V260" s="483"/>
      <c r="W260" s="483"/>
      <c r="X260" s="483"/>
      <c r="Y260" s="483"/>
      <c r="Z260" s="483"/>
      <c r="AA260" s="483"/>
    </row>
    <row r="261" spans="2:27" s="478" customFormat="1" ht="15" customHeight="1" outlineLevel="1">
      <c r="B261" s="479" t="s">
        <v>228</v>
      </c>
      <c r="H261" s="493">
        <f>MIN(H259:AA259)</f>
        <v>1.7492787762701834</v>
      </c>
      <c r="I261" s="483"/>
      <c r="J261" s="483"/>
      <c r="K261" s="483"/>
      <c r="L261" s="483"/>
      <c r="M261" s="483"/>
      <c r="N261" s="483"/>
      <c r="O261" s="483"/>
      <c r="P261" s="483"/>
      <c r="Q261" s="483"/>
      <c r="R261" s="483"/>
      <c r="S261" s="483"/>
      <c r="T261" s="483"/>
      <c r="U261" s="483"/>
      <c r="V261" s="483"/>
      <c r="W261" s="483"/>
      <c r="X261" s="483"/>
      <c r="Y261" s="483"/>
      <c r="Z261" s="483"/>
      <c r="AA261" s="483"/>
    </row>
    <row r="262" spans="2:27" s="478" customFormat="1" ht="15" customHeight="1" outlineLevel="1">
      <c r="B262" s="479" t="s">
        <v>229</v>
      </c>
      <c r="H262" s="494">
        <f>AVERAGE(H259:AA259)</f>
        <v>4.3128287962829477</v>
      </c>
      <c r="I262" s="483"/>
      <c r="J262" s="483"/>
      <c r="K262" s="483"/>
      <c r="L262" s="483"/>
      <c r="M262" s="483"/>
      <c r="N262" s="483"/>
      <c r="O262" s="483"/>
      <c r="P262" s="483"/>
      <c r="Q262" s="483"/>
      <c r="R262" s="483"/>
      <c r="S262" s="483"/>
      <c r="T262" s="483"/>
      <c r="U262" s="483"/>
      <c r="V262" s="483"/>
      <c r="W262" s="483"/>
      <c r="X262" s="483"/>
      <c r="Y262" s="483"/>
      <c r="Z262" s="483"/>
      <c r="AA262" s="483"/>
    </row>
    <row r="263" spans="2:27" s="478" customFormat="1" ht="15" customHeight="1" outlineLevel="1">
      <c r="B263" s="479"/>
    </row>
    <row r="264" spans="2:27" s="484" customFormat="1" ht="15" customHeight="1" outlineLevel="1">
      <c r="B264" s="474" t="s">
        <v>337</v>
      </c>
      <c r="D264" s="485"/>
      <c r="E264" s="485"/>
      <c r="F264" s="486"/>
      <c r="G264" s="486"/>
      <c r="H264" s="487">
        <f>H277</f>
        <v>346.35719770149632</v>
      </c>
      <c r="I264" s="487">
        <f t="shared" ref="I264:AA264" si="281">I277</f>
        <v>413.0450396380711</v>
      </c>
      <c r="J264" s="487">
        <f t="shared" si="281"/>
        <v>504.13296607724646</v>
      </c>
      <c r="K264" s="487">
        <f t="shared" si="281"/>
        <v>778.83795538262893</v>
      </c>
      <c r="L264" s="487">
        <f t="shared" si="281"/>
        <v>1017.0150852908397</v>
      </c>
      <c r="M264" s="487">
        <f t="shared" si="281"/>
        <v>1121.5910620879413</v>
      </c>
      <c r="N264" s="487">
        <f t="shared" si="281"/>
        <v>1179.5251828502051</v>
      </c>
      <c r="O264" s="487">
        <f t="shared" si="281"/>
        <v>1196.6672509317013</v>
      </c>
      <c r="P264" s="487">
        <f t="shared" si="281"/>
        <v>1213.4587658994724</v>
      </c>
      <c r="Q264" s="487">
        <f t="shared" si="281"/>
        <v>1230.4779522256845</v>
      </c>
      <c r="R264" s="487">
        <f t="shared" si="281"/>
        <v>1245.232689891352</v>
      </c>
      <c r="S264" s="487">
        <f t="shared" si="281"/>
        <v>1256.9659171818996</v>
      </c>
      <c r="T264" s="487">
        <f t="shared" si="281"/>
        <v>1268.0986354162073</v>
      </c>
      <c r="U264" s="487">
        <f t="shared" si="281"/>
        <v>1279.2480304134517</v>
      </c>
      <c r="V264" s="487">
        <f t="shared" si="281"/>
        <v>1290.411140067265</v>
      </c>
      <c r="W264" s="487">
        <f t="shared" si="281"/>
        <v>1301.5848902988814</v>
      </c>
      <c r="X264" s="487">
        <f t="shared" si="281"/>
        <v>1312.7660919740151</v>
      </c>
      <c r="Y264" s="487">
        <f t="shared" si="281"/>
        <v>1323.951437744558</v>
      </c>
      <c r="Z264" s="487">
        <f t="shared" si="281"/>
        <v>1335.1374988134107</v>
      </c>
      <c r="AA264" s="487">
        <f t="shared" si="281"/>
        <v>1346.3207216206624</v>
      </c>
    </row>
    <row r="265" spans="2:27" s="478" customFormat="1" ht="15" customHeight="1" outlineLevel="1">
      <c r="B265" s="474" t="s">
        <v>226</v>
      </c>
      <c r="H265" s="468">
        <f>H236+H241</f>
        <v>198</v>
      </c>
      <c r="I265" s="469">
        <f t="shared" ref="I265:AA265" si="282">I236+I241</f>
        <v>192.6</v>
      </c>
      <c r="J265" s="469">
        <f t="shared" si="282"/>
        <v>187.2</v>
      </c>
      <c r="K265" s="469">
        <f t="shared" si="282"/>
        <v>360.03529411764708</v>
      </c>
      <c r="L265" s="469">
        <f t="shared" si="282"/>
        <v>349.34117647058827</v>
      </c>
      <c r="M265" s="469">
        <f t="shared" si="282"/>
        <v>338.64705882352939</v>
      </c>
      <c r="N265" s="469">
        <f t="shared" si="282"/>
        <v>327.95294117647057</v>
      </c>
      <c r="O265" s="469">
        <f t="shared" si="282"/>
        <v>317.25882352941176</v>
      </c>
      <c r="P265" s="469">
        <f t="shared" si="282"/>
        <v>306.56470588235294</v>
      </c>
      <c r="Q265" s="469">
        <f t="shared" si="282"/>
        <v>295.87058823529412</v>
      </c>
      <c r="R265" s="469">
        <f t="shared" si="282"/>
        <v>285.1764705882353</v>
      </c>
      <c r="S265" s="469">
        <f t="shared" si="282"/>
        <v>274.48235294117649</v>
      </c>
      <c r="T265" s="469">
        <f t="shared" si="282"/>
        <v>263.78823529411761</v>
      </c>
      <c r="U265" s="469">
        <f t="shared" si="282"/>
        <v>253.09411764705882</v>
      </c>
      <c r="V265" s="469">
        <f t="shared" si="282"/>
        <v>242.4</v>
      </c>
      <c r="W265" s="469">
        <f t="shared" si="282"/>
        <v>231.70588235294116</v>
      </c>
      <c r="X265" s="469">
        <f t="shared" si="282"/>
        <v>221.01176470588234</v>
      </c>
      <c r="Y265" s="469">
        <f t="shared" si="282"/>
        <v>210.31764705882352</v>
      </c>
      <c r="Z265" s="469">
        <f t="shared" si="282"/>
        <v>199.62352941176471</v>
      </c>
      <c r="AA265" s="470">
        <f t="shared" si="282"/>
        <v>188.92941176470589</v>
      </c>
    </row>
    <row r="266" spans="2:27" s="478" customFormat="1" ht="15" customHeight="1" outlineLevel="1">
      <c r="B266" s="479"/>
    </row>
    <row r="267" spans="2:27" s="478" customFormat="1" ht="15" customHeight="1" outlineLevel="1">
      <c r="B267" s="479" t="s">
        <v>230</v>
      </c>
      <c r="H267" s="495" cm="1">
        <f t="array" ref="H267">INDEX(H269:H270,Inputs!D139)</f>
        <v>1.5304267478827798</v>
      </c>
    </row>
    <row r="268" spans="2:27" s="478" customFormat="1" ht="15" customHeight="1" outlineLevel="1">
      <c r="B268" s="479"/>
    </row>
    <row r="269" spans="2:27" s="478" customFormat="1" ht="15" customHeight="1" outlineLevel="1">
      <c r="B269" s="478" t="s">
        <v>232</v>
      </c>
      <c r="H269" s="491">
        <f>H275</f>
        <v>1.6903298045572179</v>
      </c>
    </row>
    <row r="270" spans="2:27" s="478" customFormat="1" ht="15" customHeight="1" outlineLevel="1">
      <c r="B270" s="478" t="s">
        <v>233</v>
      </c>
      <c r="H270" s="492">
        <f>H282</f>
        <v>1.5304267478827798</v>
      </c>
    </row>
    <row r="271" spans="2:27" s="478" customFormat="1" ht="15" customHeight="1" outlineLevel="1"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</row>
    <row r="272" spans="2:27" s="478" customFormat="1" ht="15" customHeight="1" outlineLevel="1">
      <c r="B272" s="479"/>
    </row>
    <row r="273" spans="2:28" s="478" customFormat="1" ht="15" customHeight="1" outlineLevel="1">
      <c r="B273" s="393" t="s">
        <v>6</v>
      </c>
      <c r="C273" s="394">
        <f>Outputs!$C$94</f>
        <v>8.3159674767419423E-2</v>
      </c>
      <c r="D273" s="164"/>
      <c r="E273" s="246"/>
    </row>
    <row r="274" spans="2:28" ht="15" customHeight="1" outlineLevel="1">
      <c r="B274" s="303"/>
    </row>
    <row r="275" spans="2:28" ht="15" customHeight="1" outlineLevel="1">
      <c r="B275" s="489" t="s">
        <v>232</v>
      </c>
      <c r="C275" s="475"/>
      <c r="D275" s="475"/>
      <c r="E275" s="475"/>
      <c r="F275" s="475"/>
      <c r="G275" s="475"/>
      <c r="H275" s="490">
        <f>H278/H279</f>
        <v>1.6903298045572179</v>
      </c>
    </row>
    <row r="276" spans="2:28" ht="15" customHeight="1" outlineLevel="1">
      <c r="B276" s="222"/>
    </row>
    <row r="277" spans="2:28" ht="15" customHeight="1" outlineLevel="1">
      <c r="B277" s="164" t="s">
        <v>239</v>
      </c>
      <c r="H277" s="477">
        <f>H172+H173-H151+H175</f>
        <v>346.35719770149632</v>
      </c>
      <c r="I277" s="477">
        <f t="shared" ref="I277:AA277" si="283">I172+I173-I151+I175</f>
        <v>413.0450396380711</v>
      </c>
      <c r="J277" s="477">
        <f t="shared" si="283"/>
        <v>504.13296607724646</v>
      </c>
      <c r="K277" s="477">
        <f t="shared" si="283"/>
        <v>778.83795538262893</v>
      </c>
      <c r="L277" s="477">
        <f t="shared" si="283"/>
        <v>1017.0150852908397</v>
      </c>
      <c r="M277" s="477">
        <f t="shared" si="283"/>
        <v>1121.5910620879413</v>
      </c>
      <c r="N277" s="477">
        <f t="shared" si="283"/>
        <v>1179.5251828502051</v>
      </c>
      <c r="O277" s="477">
        <f t="shared" si="283"/>
        <v>1196.6672509317013</v>
      </c>
      <c r="P277" s="477">
        <f t="shared" si="283"/>
        <v>1213.4587658994724</v>
      </c>
      <c r="Q277" s="477">
        <f t="shared" si="283"/>
        <v>1230.4779522256845</v>
      </c>
      <c r="R277" s="477">
        <f t="shared" si="283"/>
        <v>1245.232689891352</v>
      </c>
      <c r="S277" s="477">
        <f t="shared" si="283"/>
        <v>1256.9659171818996</v>
      </c>
      <c r="T277" s="477">
        <f t="shared" si="283"/>
        <v>1268.0986354162073</v>
      </c>
      <c r="U277" s="477">
        <f t="shared" si="283"/>
        <v>1279.2480304134517</v>
      </c>
      <c r="V277" s="477">
        <f t="shared" si="283"/>
        <v>1290.411140067265</v>
      </c>
      <c r="W277" s="477">
        <f t="shared" si="283"/>
        <v>1301.5848902988814</v>
      </c>
      <c r="X277" s="477">
        <f t="shared" si="283"/>
        <v>1312.7660919740151</v>
      </c>
      <c r="Y277" s="477">
        <f t="shared" si="283"/>
        <v>1323.951437744558</v>
      </c>
      <c r="Z277" s="477">
        <f t="shared" si="283"/>
        <v>1335.1374988134107</v>
      </c>
      <c r="AA277" s="477">
        <f t="shared" si="283"/>
        <v>1346.3207216206624</v>
      </c>
      <c r="AB277" s="120"/>
    </row>
    <row r="278" spans="2:28" ht="15" customHeight="1" outlineLevel="1">
      <c r="B278" s="164" t="s">
        <v>234</v>
      </c>
      <c r="H278" s="477">
        <f>NPV(C273,H277:AA277)</f>
        <v>9296.8139250646982</v>
      </c>
      <c r="I278" s="477"/>
      <c r="J278" s="477"/>
      <c r="K278" s="477"/>
      <c r="L278" s="477"/>
      <c r="M278" s="477"/>
      <c r="N278" s="477"/>
      <c r="O278" s="477"/>
      <c r="P278" s="477"/>
      <c r="Q278" s="477"/>
      <c r="R278" s="477"/>
      <c r="S278" s="477"/>
      <c r="T278" s="477"/>
      <c r="U278" s="477"/>
      <c r="V278" s="477"/>
      <c r="W278" s="477"/>
      <c r="X278" s="477"/>
      <c r="Y278" s="477"/>
      <c r="Z278" s="477"/>
      <c r="AA278" s="477"/>
      <c r="AB278" s="120"/>
    </row>
    <row r="279" spans="2:28" ht="15" customHeight="1" outlineLevel="1">
      <c r="B279" s="164" t="s">
        <v>231</v>
      </c>
      <c r="H279" s="477">
        <f>Inputs!F35</f>
        <v>5500</v>
      </c>
      <c r="I279" s="477"/>
      <c r="J279" s="477"/>
      <c r="K279" s="477"/>
      <c r="L279" s="477"/>
      <c r="M279" s="477"/>
      <c r="N279" s="477"/>
      <c r="O279" s="477"/>
      <c r="P279" s="477"/>
      <c r="Q279" s="477"/>
      <c r="R279" s="477"/>
      <c r="S279" s="477"/>
      <c r="T279" s="477"/>
      <c r="U279" s="477"/>
      <c r="V279" s="477"/>
      <c r="W279" s="477"/>
      <c r="X279" s="477"/>
      <c r="Y279" s="477"/>
      <c r="Z279" s="477"/>
      <c r="AA279" s="477"/>
      <c r="AB279" s="120"/>
    </row>
    <row r="280" spans="2:28" ht="15" customHeight="1" outlineLevel="1">
      <c r="B280" s="473" t="s">
        <v>230</v>
      </c>
      <c r="I280" s="477"/>
      <c r="J280" s="477"/>
      <c r="K280" s="477"/>
      <c r="L280" s="477"/>
      <c r="M280" s="477"/>
      <c r="N280" s="477"/>
      <c r="O280" s="477"/>
      <c r="P280" s="477"/>
      <c r="Q280" s="477"/>
      <c r="R280" s="477"/>
      <c r="S280" s="477"/>
      <c r="T280" s="477"/>
      <c r="U280" s="477"/>
      <c r="V280" s="477"/>
      <c r="W280" s="477"/>
      <c r="X280" s="477"/>
      <c r="Y280" s="477"/>
      <c r="Z280" s="477"/>
      <c r="AA280" s="477"/>
      <c r="AB280" s="120"/>
    </row>
    <row r="281" spans="2:28" ht="15" customHeight="1" outlineLevel="1">
      <c r="B281" s="476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</row>
    <row r="282" spans="2:28" ht="15" customHeight="1" outlineLevel="1">
      <c r="B282" s="489" t="s">
        <v>233</v>
      </c>
      <c r="C282" s="489"/>
      <c r="D282" s="489"/>
      <c r="E282" s="489"/>
      <c r="F282" s="489"/>
      <c r="G282" s="489"/>
      <c r="H282" s="490">
        <f>H286</f>
        <v>1.5304267478827798</v>
      </c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</row>
    <row r="283" spans="2:28" ht="15" customHeight="1" outlineLevel="1">
      <c r="B283" s="476" t="s">
        <v>321</v>
      </c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</row>
    <row r="284" spans="2:28" ht="15" customHeight="1" outlineLevel="1">
      <c r="B284" s="488" t="s">
        <v>234</v>
      </c>
      <c r="H284" s="477">
        <f>NPV($C$273,H277:X277)</f>
        <v>8417.3471133552885</v>
      </c>
      <c r="I284" s="477"/>
      <c r="J284" s="477"/>
      <c r="K284" s="477"/>
      <c r="L284" s="477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</row>
    <row r="285" spans="2:28" ht="15" customHeight="1" outlineLevel="1">
      <c r="B285" s="488" t="s">
        <v>231</v>
      </c>
      <c r="H285" s="477">
        <f>Inputs!F40</f>
        <v>5500</v>
      </c>
      <c r="I285" s="477"/>
      <c r="J285" s="477"/>
      <c r="K285" s="477"/>
      <c r="L285" s="477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</row>
    <row r="286" spans="2:28" ht="15" customHeight="1" outlineLevel="1">
      <c r="B286" s="488" t="s">
        <v>230</v>
      </c>
      <c r="H286" s="483">
        <f>H284/H285</f>
        <v>1.5304267478827798</v>
      </c>
      <c r="I286" s="477"/>
      <c r="J286" s="477"/>
      <c r="K286" s="477"/>
      <c r="L286" s="477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</row>
    <row r="287" spans="2:28" ht="15" customHeight="1" outlineLevel="1"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</row>
    <row r="288" spans="2:28" ht="15" customHeight="1" outlineLevel="1"/>
    <row r="289" spans="1:27" ht="15" customHeight="1">
      <c r="A289" s="8" t="s">
        <v>0</v>
      </c>
      <c r="B289" s="108" t="s">
        <v>241</v>
      </c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</row>
    <row r="290" spans="1:27" ht="15" customHeight="1" outlineLevel="1">
      <c r="B290" s="395"/>
      <c r="C290" s="396"/>
      <c r="D290" s="397"/>
      <c r="E290" s="445"/>
      <c r="F290" s="445"/>
      <c r="G290" s="445"/>
      <c r="H290" s="445"/>
      <c r="I290" s="445"/>
      <c r="J290" s="445"/>
      <c r="K290" s="445"/>
      <c r="L290" s="445"/>
      <c r="M290" s="445"/>
      <c r="N290" s="445"/>
      <c r="O290" s="445"/>
    </row>
    <row r="291" spans="1:27" ht="15" customHeight="1" outlineLevel="1">
      <c r="B291" s="86" t="s">
        <v>134</v>
      </c>
      <c r="C291" s="396"/>
      <c r="D291" s="398"/>
      <c r="E291" s="398"/>
      <c r="F291" s="398"/>
      <c r="G291" s="398"/>
      <c r="H291" s="101"/>
      <c r="I291" s="96"/>
      <c r="J291" s="398"/>
      <c r="K291" s="100"/>
      <c r="L291" s="100"/>
      <c r="M291" s="100"/>
      <c r="N291" s="100"/>
      <c r="O291" s="100"/>
    </row>
    <row r="292" spans="1:27" ht="15" customHeight="1" outlineLevel="1" thickBot="1">
      <c r="B292" s="86" t="str" cm="1">
        <f t="array" ref="B292">CONCATENATE("Model Drivers: ",INDEX(Inputs!$B$96:$B$98,Inputs!$D$86)," &amp; ",INDEX(Inputs!$B$143:$B$144,Inputs!$D$139)," Financing")</f>
        <v>Model Drivers: Base Case &amp; Two Phased  Financing</v>
      </c>
      <c r="C292" s="396"/>
      <c r="D292" s="398"/>
      <c r="E292" s="398"/>
      <c r="F292" s="245">
        <v>2025</v>
      </c>
      <c r="G292" s="245">
        <v>2026</v>
      </c>
      <c r="H292" s="316">
        <f>Inputs!$F$8</f>
        <v>2027</v>
      </c>
      <c r="I292" s="316">
        <f>H292+1</f>
        <v>2028</v>
      </c>
      <c r="J292" s="316">
        <f t="shared" ref="J292" si="284">I292+1</f>
        <v>2029</v>
      </c>
      <c r="K292" s="317">
        <f t="shared" ref="K292" si="285">J292+1</f>
        <v>2030</v>
      </c>
      <c r="L292" s="317">
        <f t="shared" ref="L292" si="286">K292+1</f>
        <v>2031</v>
      </c>
      <c r="M292" s="317">
        <f t="shared" ref="M292" si="287">L292+1</f>
        <v>2032</v>
      </c>
      <c r="N292" s="317">
        <f t="shared" ref="N292" si="288">M292+1</f>
        <v>2033</v>
      </c>
      <c r="O292" s="317">
        <f t="shared" ref="O292" si="289">N292+1</f>
        <v>2034</v>
      </c>
      <c r="P292" s="317">
        <f t="shared" ref="P292" si="290">O292+1</f>
        <v>2035</v>
      </c>
      <c r="Q292" s="317">
        <f t="shared" ref="Q292" si="291">P292+1</f>
        <v>2036</v>
      </c>
      <c r="R292" s="317">
        <f t="shared" ref="R292" si="292">Q292+1</f>
        <v>2037</v>
      </c>
      <c r="S292" s="317">
        <f t="shared" ref="S292" si="293">R292+1</f>
        <v>2038</v>
      </c>
      <c r="T292" s="317">
        <f t="shared" ref="T292" si="294">S292+1</f>
        <v>2039</v>
      </c>
      <c r="U292" s="317">
        <f t="shared" ref="U292" si="295">T292+1</f>
        <v>2040</v>
      </c>
      <c r="V292" s="317">
        <f>U292+1</f>
        <v>2041</v>
      </c>
      <c r="W292" s="317">
        <f t="shared" ref="W292" si="296">V292+1</f>
        <v>2042</v>
      </c>
      <c r="X292" s="317">
        <f t="shared" ref="X292" si="297">W292+1</f>
        <v>2043</v>
      </c>
      <c r="Y292" s="317">
        <f t="shared" ref="Y292" si="298">X292+1</f>
        <v>2044</v>
      </c>
      <c r="Z292" s="317">
        <f t="shared" ref="Z292" si="299">Y292+1</f>
        <v>2045</v>
      </c>
      <c r="AA292" s="317">
        <f t="shared" ref="AA292" si="300">Z292+1</f>
        <v>2046</v>
      </c>
    </row>
    <row r="293" spans="1:27" ht="15" customHeight="1" outlineLevel="1"/>
    <row r="294" spans="1:27" ht="15" customHeight="1" outlineLevel="1"/>
    <row r="295" spans="1:27" s="120" customFormat="1" ht="15" customHeight="1" outlineLevel="1">
      <c r="B295" s="476" t="s">
        <v>235</v>
      </c>
      <c r="F295" s="503">
        <f>(Inputs!F$141)*Inputs!$K$35</f>
        <v>900</v>
      </c>
      <c r="G295" s="504">
        <f>Inputs!G$141*Inputs!$K$35</f>
        <v>900</v>
      </c>
      <c r="H295" s="504">
        <f>Inputs!H$141*Inputs!$K$35</f>
        <v>600</v>
      </c>
      <c r="I295" s="504">
        <f>Inputs!I$141*Inputs!$K$35</f>
        <v>600</v>
      </c>
      <c r="J295" s="504">
        <f>Inputs!J$141*Inputs!$K$35</f>
        <v>300</v>
      </c>
      <c r="K295" s="504">
        <f>Inputs!K$141*Inputs!$K$35</f>
        <v>0</v>
      </c>
      <c r="L295" s="504">
        <f>Inputs!L$141*Inputs!$K$35</f>
        <v>0</v>
      </c>
      <c r="M295" s="504">
        <f>Inputs!M$141*Inputs!$K$35</f>
        <v>0</v>
      </c>
      <c r="N295" s="504">
        <f>Inputs!N$141*Inputs!$K$35</f>
        <v>0</v>
      </c>
      <c r="O295" s="504">
        <f>Inputs!O$141*Inputs!$K$35</f>
        <v>0</v>
      </c>
      <c r="P295" s="504">
        <f>Inputs!P$141*Inputs!$K$35</f>
        <v>0</v>
      </c>
      <c r="Q295" s="504">
        <f>Inputs!Q$141*Inputs!$K$35</f>
        <v>0</v>
      </c>
      <c r="R295" s="504">
        <f>Inputs!R$141*Inputs!$K$35</f>
        <v>0</v>
      </c>
      <c r="S295" s="504">
        <f>Inputs!S$141*Inputs!$K$35</f>
        <v>0</v>
      </c>
      <c r="T295" s="504">
        <f>Inputs!T$141*Inputs!$K$35</f>
        <v>0</v>
      </c>
      <c r="U295" s="504">
        <f>Inputs!U$141*Inputs!$K$35</f>
        <v>0</v>
      </c>
      <c r="V295" s="504">
        <f>Inputs!V$141*Inputs!$K$35</f>
        <v>0</v>
      </c>
      <c r="W295" s="504">
        <f>Inputs!W$141*Inputs!$K$35</f>
        <v>0</v>
      </c>
      <c r="X295" s="504">
        <f>Inputs!X$141*Inputs!$K$35</f>
        <v>0</v>
      </c>
      <c r="Y295" s="504">
        <f>Inputs!Y$141*Inputs!$K$35</f>
        <v>0</v>
      </c>
      <c r="Z295" s="504">
        <f>Inputs!Z$141*Inputs!$K$35</f>
        <v>0</v>
      </c>
      <c r="AA295" s="505">
        <f>Inputs!AA$141*Inputs!$K$35</f>
        <v>0</v>
      </c>
    </row>
    <row r="296" spans="1:27" s="120" customFormat="1" ht="15" customHeight="1" outlineLevel="1">
      <c r="B296" s="476" t="s">
        <v>236</v>
      </c>
      <c r="F296" s="506">
        <f>(Inputs!F$141)*Inputs!$K$36</f>
        <v>600</v>
      </c>
      <c r="G296" s="507">
        <f>(Inputs!G$141)*Inputs!$K$36</f>
        <v>600</v>
      </c>
      <c r="H296" s="507">
        <f>(Inputs!H$141)*Inputs!$K$36</f>
        <v>400</v>
      </c>
      <c r="I296" s="507">
        <f>(Inputs!I$141)*Inputs!$K$36</f>
        <v>400</v>
      </c>
      <c r="J296" s="507">
        <f>(Inputs!J$141)*Inputs!$K$36</f>
        <v>200</v>
      </c>
      <c r="K296" s="507">
        <f>(Inputs!K$141)*Inputs!$K$36</f>
        <v>0</v>
      </c>
      <c r="L296" s="507">
        <f>(Inputs!L$141)*Inputs!$K$36</f>
        <v>0</v>
      </c>
      <c r="M296" s="507">
        <f>(Inputs!M$141)*Inputs!$K$36</f>
        <v>0</v>
      </c>
      <c r="N296" s="507">
        <f>(Inputs!N$141)*Inputs!$K$36</f>
        <v>0</v>
      </c>
      <c r="O296" s="507">
        <f>(Inputs!O$141)*Inputs!$K$36</f>
        <v>0</v>
      </c>
      <c r="P296" s="507">
        <f>(Inputs!P$141)*Inputs!$K$36</f>
        <v>0</v>
      </c>
      <c r="Q296" s="507">
        <f>(Inputs!Q$141)*Inputs!$K$36</f>
        <v>0</v>
      </c>
      <c r="R296" s="507">
        <f>(Inputs!R$141)*Inputs!$K$36</f>
        <v>0</v>
      </c>
      <c r="S296" s="507">
        <f>(Inputs!S$141)*Inputs!$K$36</f>
        <v>0</v>
      </c>
      <c r="T296" s="507">
        <f>(Inputs!T$141)*Inputs!$K$36</f>
        <v>0</v>
      </c>
      <c r="U296" s="507">
        <f>(Inputs!U$141)*Inputs!$K$36</f>
        <v>0</v>
      </c>
      <c r="V296" s="507">
        <f>(Inputs!V$141)*Inputs!$K$36</f>
        <v>0</v>
      </c>
      <c r="W296" s="507">
        <f>(Inputs!W$141)*Inputs!$K$36</f>
        <v>0</v>
      </c>
      <c r="X296" s="507">
        <f>(Inputs!X$141)*Inputs!$K$36</f>
        <v>0</v>
      </c>
      <c r="Y296" s="507">
        <f>(Inputs!Y$141)*Inputs!$K$36</f>
        <v>0</v>
      </c>
      <c r="Z296" s="507">
        <f>(Inputs!Z$141)*Inputs!$K$36</f>
        <v>0</v>
      </c>
      <c r="AA296" s="508">
        <f>(Inputs!AA$141)*Inputs!$K$36</f>
        <v>0</v>
      </c>
    </row>
    <row r="297" spans="1:27" ht="15" customHeight="1" outlineLevel="1"/>
    <row r="298" spans="1:27" ht="15" customHeight="1" outlineLevel="1">
      <c r="B298" s="476" t="s">
        <v>237</v>
      </c>
      <c r="F298" s="509">
        <v>0</v>
      </c>
      <c r="G298" s="510">
        <v>0</v>
      </c>
      <c r="H298" s="511">
        <f t="shared" ref="H298:AA298" si="301">H277-H265</f>
        <v>148.35719770149632</v>
      </c>
      <c r="I298" s="511">
        <f t="shared" si="301"/>
        <v>220.44503963807111</v>
      </c>
      <c r="J298" s="511">
        <f t="shared" si="301"/>
        <v>316.93296607724648</v>
      </c>
      <c r="K298" s="511">
        <f t="shared" si="301"/>
        <v>418.80266126498185</v>
      </c>
      <c r="L298" s="511">
        <f t="shared" si="301"/>
        <v>667.67390882025143</v>
      </c>
      <c r="M298" s="511">
        <f t="shared" si="301"/>
        <v>782.94400326441189</v>
      </c>
      <c r="N298" s="511">
        <f t="shared" si="301"/>
        <v>851.57224167373442</v>
      </c>
      <c r="O298" s="511">
        <f t="shared" si="301"/>
        <v>879.40842740228959</v>
      </c>
      <c r="P298" s="511">
        <f t="shared" si="301"/>
        <v>906.8940600171195</v>
      </c>
      <c r="Q298" s="511">
        <f t="shared" si="301"/>
        <v>934.60736399039035</v>
      </c>
      <c r="R298" s="511">
        <f t="shared" si="301"/>
        <v>960.05621930311668</v>
      </c>
      <c r="S298" s="511">
        <f t="shared" si="301"/>
        <v>982.48356424072313</v>
      </c>
      <c r="T298" s="511">
        <f t="shared" si="301"/>
        <v>1004.3104001220897</v>
      </c>
      <c r="U298" s="511">
        <f t="shared" si="301"/>
        <v>1026.153912766393</v>
      </c>
      <c r="V298" s="511">
        <f t="shared" si="301"/>
        <v>1048.0111400672649</v>
      </c>
      <c r="W298" s="511">
        <f t="shared" si="301"/>
        <v>1069.8790079459402</v>
      </c>
      <c r="X298" s="511">
        <f t="shared" si="301"/>
        <v>1091.7543272681328</v>
      </c>
      <c r="Y298" s="511">
        <f t="shared" si="301"/>
        <v>1113.6337906857345</v>
      </c>
      <c r="Z298" s="511">
        <f t="shared" si="301"/>
        <v>1135.5139694016461</v>
      </c>
      <c r="AA298" s="512">
        <f t="shared" si="301"/>
        <v>1157.3913098559565</v>
      </c>
    </row>
    <row r="299" spans="1:27" ht="15" customHeight="1" outlineLevel="1"/>
    <row r="300" spans="1:27" s="95" customFormat="1" ht="15" customHeight="1" outlineLevel="1">
      <c r="B300" s="476" t="s">
        <v>81</v>
      </c>
      <c r="C300" s="104"/>
      <c r="D300" s="103"/>
      <c r="E300" s="103"/>
      <c r="F300" s="376">
        <v>45658</v>
      </c>
      <c r="G300" s="377">
        <f>EDATE(F300,12)</f>
        <v>46023</v>
      </c>
      <c r="H300" s="377">
        <f t="shared" ref="H300:AA300" si="302">EDATE(G300,12)</f>
        <v>46388</v>
      </c>
      <c r="I300" s="377">
        <f t="shared" si="302"/>
        <v>46753</v>
      </c>
      <c r="J300" s="377">
        <f t="shared" si="302"/>
        <v>47119</v>
      </c>
      <c r="K300" s="377">
        <f t="shared" si="302"/>
        <v>47484</v>
      </c>
      <c r="L300" s="377">
        <f t="shared" si="302"/>
        <v>47849</v>
      </c>
      <c r="M300" s="377">
        <f t="shared" si="302"/>
        <v>48214</v>
      </c>
      <c r="N300" s="377">
        <f t="shared" si="302"/>
        <v>48580</v>
      </c>
      <c r="O300" s="377">
        <f t="shared" si="302"/>
        <v>48945</v>
      </c>
      <c r="P300" s="377">
        <f t="shared" si="302"/>
        <v>49310</v>
      </c>
      <c r="Q300" s="377">
        <f t="shared" si="302"/>
        <v>49675</v>
      </c>
      <c r="R300" s="377">
        <f t="shared" si="302"/>
        <v>50041</v>
      </c>
      <c r="S300" s="377">
        <f t="shared" si="302"/>
        <v>50406</v>
      </c>
      <c r="T300" s="377">
        <f t="shared" si="302"/>
        <v>50771</v>
      </c>
      <c r="U300" s="377">
        <f t="shared" si="302"/>
        <v>51136</v>
      </c>
      <c r="V300" s="377">
        <f t="shared" si="302"/>
        <v>51502</v>
      </c>
      <c r="W300" s="377">
        <f t="shared" si="302"/>
        <v>51867</v>
      </c>
      <c r="X300" s="377">
        <f t="shared" si="302"/>
        <v>52232</v>
      </c>
      <c r="Y300" s="377">
        <f t="shared" si="302"/>
        <v>52597</v>
      </c>
      <c r="Z300" s="377">
        <f t="shared" si="302"/>
        <v>52963</v>
      </c>
      <c r="AA300" s="378">
        <f t="shared" si="302"/>
        <v>53328</v>
      </c>
    </row>
    <row r="301" spans="1:27" ht="15" customHeight="1" outlineLevel="1">
      <c r="A301" s="458"/>
      <c r="B301" s="476" t="s">
        <v>240</v>
      </c>
      <c r="C301" s="458"/>
      <c r="F301" s="513">
        <f>-F$296+F$298</f>
        <v>-600</v>
      </c>
      <c r="G301" s="514">
        <f t="shared" ref="G301:AA301" si="303">-G$296+G$298</f>
        <v>-600</v>
      </c>
      <c r="H301" s="514">
        <f t="shared" si="303"/>
        <v>-251.64280229850368</v>
      </c>
      <c r="I301" s="514">
        <f t="shared" si="303"/>
        <v>-179.55496036192889</v>
      </c>
      <c r="J301" s="514">
        <f t="shared" si="303"/>
        <v>116.93296607724648</v>
      </c>
      <c r="K301" s="514">
        <f t="shared" si="303"/>
        <v>418.80266126498185</v>
      </c>
      <c r="L301" s="514">
        <f t="shared" si="303"/>
        <v>667.67390882025143</v>
      </c>
      <c r="M301" s="514">
        <f t="shared" si="303"/>
        <v>782.94400326441189</v>
      </c>
      <c r="N301" s="514">
        <f t="shared" si="303"/>
        <v>851.57224167373442</v>
      </c>
      <c r="O301" s="514">
        <f t="shared" si="303"/>
        <v>879.40842740228959</v>
      </c>
      <c r="P301" s="514">
        <f t="shared" si="303"/>
        <v>906.8940600171195</v>
      </c>
      <c r="Q301" s="514">
        <f t="shared" si="303"/>
        <v>934.60736399039035</v>
      </c>
      <c r="R301" s="514">
        <f t="shared" si="303"/>
        <v>960.05621930311668</v>
      </c>
      <c r="S301" s="514">
        <f t="shared" si="303"/>
        <v>982.48356424072313</v>
      </c>
      <c r="T301" s="514">
        <f t="shared" si="303"/>
        <v>1004.3104001220897</v>
      </c>
      <c r="U301" s="514">
        <f t="shared" si="303"/>
        <v>1026.153912766393</v>
      </c>
      <c r="V301" s="514">
        <f t="shared" si="303"/>
        <v>1048.0111400672649</v>
      </c>
      <c r="W301" s="514">
        <f t="shared" si="303"/>
        <v>1069.8790079459402</v>
      </c>
      <c r="X301" s="514">
        <f t="shared" si="303"/>
        <v>1091.7543272681328</v>
      </c>
      <c r="Y301" s="514">
        <f t="shared" si="303"/>
        <v>1113.6337906857345</v>
      </c>
      <c r="Z301" s="514">
        <f t="shared" si="303"/>
        <v>1135.5139694016461</v>
      </c>
      <c r="AA301" s="515">
        <f t="shared" si="303"/>
        <v>1157.3913098559565</v>
      </c>
    </row>
    <row r="302" spans="1:27" ht="15" customHeight="1" outlineLevel="1">
      <c r="A302" s="458"/>
      <c r="B302" s="458"/>
      <c r="C302" s="458"/>
      <c r="F302" s="502"/>
      <c r="G302" s="502"/>
      <c r="H302" s="502"/>
      <c r="I302" s="502"/>
      <c r="J302" s="502"/>
      <c r="K302" s="502"/>
      <c r="L302" s="502"/>
      <c r="M302" s="502"/>
      <c r="N302" s="502"/>
      <c r="O302" s="502"/>
      <c r="P302" s="502"/>
      <c r="Q302" s="502"/>
      <c r="R302" s="502"/>
      <c r="S302" s="502"/>
      <c r="T302" s="502"/>
      <c r="U302" s="502"/>
      <c r="V302" s="502"/>
      <c r="W302" s="502"/>
      <c r="X302" s="502"/>
      <c r="Y302" s="502"/>
      <c r="Z302" s="502"/>
      <c r="AA302" s="502"/>
    </row>
    <row r="303" spans="1:27" ht="15" customHeight="1" outlineLevel="1">
      <c r="A303" s="458"/>
      <c r="B303" s="393" t="s">
        <v>6</v>
      </c>
      <c r="C303" s="394">
        <f>Outputs!$C$94</f>
        <v>8.3159674767419423E-2</v>
      </c>
      <c r="F303" s="502"/>
      <c r="G303" s="502"/>
      <c r="H303" s="502"/>
      <c r="I303" s="502"/>
      <c r="J303" s="502"/>
      <c r="K303" s="502"/>
      <c r="L303" s="502"/>
      <c r="M303" s="502"/>
      <c r="N303" s="502"/>
      <c r="O303" s="502"/>
      <c r="P303" s="502"/>
      <c r="Q303" s="502"/>
      <c r="R303" s="502"/>
      <c r="S303" s="502"/>
      <c r="T303" s="502"/>
      <c r="U303" s="502"/>
      <c r="V303" s="502"/>
      <c r="W303" s="502"/>
      <c r="X303" s="502"/>
      <c r="Y303" s="502"/>
      <c r="Z303" s="502"/>
      <c r="AA303" s="502"/>
    </row>
    <row r="304" spans="1:27" ht="15" customHeight="1" outlineLevel="1">
      <c r="F304" s="501"/>
      <c r="G304" s="501"/>
      <c r="H304" s="501"/>
      <c r="I304" s="501"/>
      <c r="J304" s="501"/>
      <c r="K304" s="501"/>
      <c r="L304" s="501"/>
      <c r="M304" s="501"/>
      <c r="N304" s="501"/>
      <c r="O304" s="501"/>
      <c r="P304" s="501"/>
      <c r="Q304" s="501"/>
      <c r="R304" s="501"/>
      <c r="S304" s="501"/>
      <c r="T304" s="501"/>
      <c r="U304" s="501"/>
      <c r="V304" s="501"/>
      <c r="W304" s="501"/>
      <c r="X304" s="501"/>
      <c r="Y304" s="501"/>
      <c r="Z304" s="501"/>
      <c r="AA304" s="501"/>
    </row>
    <row r="305" spans="2:27" ht="15" customHeight="1" outlineLevel="1">
      <c r="B305" s="221" t="s">
        <v>189</v>
      </c>
      <c r="C305" s="95"/>
      <c r="E305" s="96"/>
      <c r="F305" s="496">
        <f>IFERROR(XIRR($F$301:$AA$301,$F$300:$AA$300),_xleta.NA)</f>
        <v>0.24344133734703058</v>
      </c>
      <c r="G305" s="501"/>
      <c r="H305" s="501"/>
      <c r="I305" s="501"/>
      <c r="J305" s="501"/>
      <c r="K305" s="501"/>
      <c r="L305" s="501"/>
      <c r="M305" s="501"/>
      <c r="N305" s="501"/>
      <c r="O305" s="501"/>
      <c r="P305" s="501"/>
      <c r="Q305" s="501"/>
      <c r="R305" s="501"/>
      <c r="S305" s="501"/>
      <c r="T305" s="501"/>
      <c r="U305" s="501"/>
      <c r="V305" s="501"/>
      <c r="W305" s="501"/>
      <c r="X305" s="501"/>
      <c r="Y305" s="501"/>
      <c r="Z305" s="501"/>
      <c r="AA305" s="501"/>
    </row>
    <row r="306" spans="2:27" ht="15" customHeight="1" outlineLevel="1">
      <c r="B306" s="382"/>
      <c r="C306" s="95"/>
      <c r="D306" s="96"/>
      <c r="E306" s="96"/>
      <c r="F306" s="497"/>
    </row>
    <row r="307" spans="2:27" ht="15" customHeight="1" outlineLevel="1"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</row>
    <row r="308" spans="2:27" ht="15" customHeight="1" outlineLevel="1"/>
  </sheetData>
  <printOptions horizontalCentered="1"/>
  <pageMargins left="0.118110236220472" right="0.118110236220472" top="0.118110236220472" bottom="0.118110236220472" header="0.118110236220472" footer="0.118110236220472"/>
  <pageSetup scale="88" orientation="landscape" r:id="rId1"/>
  <headerFooter scaleWithDoc="0"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Cover</vt:lpstr>
      <vt:lpstr>Outputs</vt:lpstr>
      <vt:lpstr>Inputs</vt:lpstr>
      <vt:lpstr>Model</vt:lpstr>
      <vt:lpstr>Cover!Print_Area</vt:lpstr>
      <vt:lpstr>Outputs!Print_Area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1899-12-30T05:00:00Z</dcterms:created>
  <dcterms:modified xsi:type="dcterms:W3CDTF">2025-11-24T23:26:36Z</dcterms:modified>
  <cp:category/>
  <cp:contentStatus/>
  <dc:language/>
  <cp:version/>
</cp:coreProperties>
</file>